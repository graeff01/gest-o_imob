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oinhos\Financeiro\"/>
    </mc:Choice>
  </mc:AlternateContent>
  <xr:revisionPtr revIDLastSave="0" documentId="13_ncr:1_{207DAC61-14A8-4BAF-B1A1-6671E200E06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diantamentos" sheetId="3" r:id="rId1"/>
    <sheet name="Projeção de Recebimentos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3" l="1"/>
  <c r="R16" i="3"/>
  <c r="R15" i="3"/>
  <c r="R14" i="3"/>
  <c r="J2" i="4"/>
  <c r="J3" i="4"/>
  <c r="J5" i="4"/>
  <c r="J7" i="4"/>
  <c r="J8" i="4"/>
  <c r="J11" i="4"/>
  <c r="J14" i="4"/>
  <c r="G15" i="4"/>
  <c r="H15" i="4"/>
  <c r="I15" i="4"/>
  <c r="R12" i="3"/>
  <c r="R11" i="3"/>
  <c r="R10" i="3"/>
  <c r="R9" i="3"/>
  <c r="R7" i="3"/>
  <c r="R2" i="3"/>
  <c r="J15" i="4" l="1"/>
</calcChain>
</file>

<file path=xl/sharedStrings.xml><?xml version="1.0" encoding="utf-8"?>
<sst xmlns="http://schemas.openxmlformats.org/spreadsheetml/2006/main" count="248" uniqueCount="179">
  <si>
    <t>da Azenha, 1338, 31, Azenha, Porto Alegre / RS, CEP 90160-003</t>
  </si>
  <si>
    <t>21014d62-d356-4582-953c-398f59d48d6e</t>
  </si>
  <si>
    <t>PIX</t>
  </si>
  <si>
    <t>Antecipação de Comissão CCB 38765054-8fd2-4c18-8090-6660695fabba</t>
  </si>
  <si>
    <t>FIDC Pipeimob</t>
  </si>
  <si>
    <t>ALMIRANTE ABREU, 354, 801, Rio Branco, Porto Alegre / RS, CEP 90420010</t>
  </si>
  <si>
    <t>1750708552402x278557497224671400</t>
  </si>
  <si>
    <t>2de777eb-fb7b-4db0-befd-7a9ab2495cf3</t>
  </si>
  <si>
    <t>Antecipação de Comissão CCB fd9eff40-91fe-439c-8db5-38883cd6d06d</t>
  </si>
  <si>
    <t>1761854339070x181219050792728700</t>
  </si>
  <si>
    <t>be4e095a-87f7-4815-a34c-c52b4ca11a8e</t>
  </si>
  <si>
    <t>Antecipação de Comissão CCB 962c48fb-fed7-4600-b0c2-1c70c70f64b3</t>
  </si>
  <si>
    <t>1761622498976x774953891546588300</t>
  </si>
  <si>
    <t>3a463137-5247-4a68-a764-e47314b8abbd</t>
  </si>
  <si>
    <t>Antecipação de Comissão CCB ea94a75d-3420-4706-894e-d7299f811608</t>
  </si>
  <si>
    <t>1755180783441x502145107008290500</t>
  </si>
  <si>
    <t>dce70c90-9148-432e-827a-54cd77b47b06</t>
  </si>
  <si>
    <t>Antecipação de Comissão CCB d0b788f7-04eb-403d-a37e-048cb04d1e41</t>
  </si>
  <si>
    <t>Independência, 972, 607, Independência, Porto Alegre / RS, CEP 90035072</t>
  </si>
  <si>
    <t>1764616874314x436432262730524160</t>
  </si>
  <si>
    <t>5dc326e3-ed80-4a21-91c8-360e4e9165cc</t>
  </si>
  <si>
    <t>Antecipação de Comissão CCB de2aa08b-d604-47f5-a2df-199ba6ead2ee</t>
  </si>
  <si>
    <t>1762447403220x488430154326337860</t>
  </si>
  <si>
    <t>e9ce4e40-d72e-40fa-88cb-e738d28d93b2</t>
  </si>
  <si>
    <t>Antecipação de Comissão CCB 1b5ea4d6-d801-4815-aff9-9a3212e557b3</t>
  </si>
  <si>
    <t>HIPOLITO DA COSTA, 211, 301, Santa Tereza, Porto Alegre / RS, CEP 90840-110</t>
  </si>
  <si>
    <t>1760733736759x944736702067236100</t>
  </si>
  <si>
    <t>247221c4-0023-4189-b0db-31270bb67132</t>
  </si>
  <si>
    <t>Antecipação de Comissão CCB 5ec7f08d-9d66-4982-a674-9a642baf5217</t>
  </si>
  <si>
    <t>Reverendo Olavo Nunes, 280, 502, Parque Santa Fé, Porto Alegre / RS, CEP 91180370</t>
  </si>
  <si>
    <t>1767032770576x890041145011061200</t>
  </si>
  <si>
    <t>4dc1e45c-d0f2-4c82-bcb6-45002c1c9031</t>
  </si>
  <si>
    <t>Antecipação de Comissão CCB 789e3b44-a8a6-44e8-a7d1-17a9ac8d36fe</t>
  </si>
  <si>
    <t>Rua Doutor Otávio Santos, 257, Apto 507, Jardim Sabará, Porto Alegre - RS, CEP 91210001</t>
  </si>
  <si>
    <t>1764165194997x469207101923131400</t>
  </si>
  <si>
    <t>f451aa85-ca7c-49a7-83e6-16a2b499bac9</t>
  </si>
  <si>
    <t>Antecipação de Comissão CCB 39eb3911-b068-48dd-a1ec-ffc4fbe0cc9f</t>
  </si>
  <si>
    <t>Ferreira Viana, 885, 512, Petrópolis, Porto Alegre / RS, CEP 90670-100</t>
  </si>
  <si>
    <t>1760988625735x579442862451758500</t>
  </si>
  <si>
    <t>Previsão</t>
  </si>
  <si>
    <t>Saldo a receber bruto</t>
  </si>
  <si>
    <t>Vencido</t>
  </si>
  <si>
    <t>Comissão paga em 22/01 e 27/01 e o Pipeimob não cobrou o adiantamento</t>
  </si>
  <si>
    <t>Comissão paga em 16/01 e o Pipeimob não cobrou o adiantamento</t>
  </si>
  <si>
    <t>R$1.212,42 foi pago no dia 16/01 e não foi cobrado</t>
  </si>
  <si>
    <t>Data do Adiantamento</t>
  </si>
  <si>
    <t>Hora</t>
  </si>
  <si>
    <t>Adiantamento</t>
  </si>
  <si>
    <t>Comissão Total</t>
  </si>
  <si>
    <t>Histórico 1</t>
  </si>
  <si>
    <t>Histórico 2</t>
  </si>
  <si>
    <t>Obs.</t>
  </si>
  <si>
    <t>Comissão - PRAIA DE BELAS, 1762, 106, Praia de Belas, Porto Alegre / RS, CEP 90110-000 -  - credores desta cobrança: GOETHE IMOVEIS LTDA (R$4.200,00), CLEITON GREGOL (R$3.960,00), Carlos Freitas (R$600,00), MARCOS HENRIQUE FREITAS BILHAR DA COSTA (R$1.200,00)</t>
  </si>
  <si>
    <t>1769116036782x976448259975757300</t>
  </si>
  <si>
    <t>PRAIA DE BELAS, 1762, 106, Praia de Belas, Porto Alegre / RS, CEP 90110-000</t>
  </si>
  <si>
    <t>https://pipeimob.auxiliadorapredial.com.br/cobranca/1769439053780x344449268979522400</t>
  </si>
  <si>
    <t>1769439053780x344449268979522400</t>
  </si>
  <si>
    <t>kk6g232xel65a0daee4dd13kk2877224867</t>
  </si>
  <si>
    <t>Comissões</t>
  </si>
  <si>
    <t>Camile Saldanha de Barros Bueno Romero</t>
  </si>
  <si>
    <t>Pix</t>
  </si>
  <si>
    <t>GOETHE IMOVEIS LTDA</t>
  </si>
  <si>
    <t>Comissões - Reverendo Olavo Nunes, 280, 502, Parque Santa Fé, Porto Alegre / RS, CEP 91180370 - credores desta cobrança: GOETHE IMOVEIS LTDA (R$4.200,00), Carlos Freitas (R$600,00), Pedro Henrike Freitas Bilhar da Costa (R$3.960,00), MARCOS HENRIQUE FREITAS BILHAR DA COSTA (R$1.200,00), LILIANE DA SILVA RAMBO (R$1.632,00), JS Negocios Imobiliarios Ltda (R$408,00)</t>
  </si>
  <si>
    <t>https://pipeimob.auxiliadorapredial.com.br/cobranca/1768421833279x780659661842958500</t>
  </si>
  <si>
    <t>1768421833279x780659661842958500</t>
  </si>
  <si>
    <t>8449b029-5555-4f4e-85d8-2477489d3fce</t>
  </si>
  <si>
    <t>Mônica Rejane Cassolli Lobo</t>
  </si>
  <si>
    <t>Pix ou Boleto</t>
  </si>
  <si>
    <t>Comissões - Ferreira Viana, 885, 512, Petrópolis, Porto Alegre / RS, CEP 90670-100 - credores desta cobrança: GOETHE IMOVEIS LTDA (R$1.554,44), Guarida Serviços Imobiliários (R$710,60), CLEITON GREGOL (R$1.110,31), Carlos Freitas (R$222,07), MARCOS HENRIQUE FREITAS BILHAR DA COSTA (R$444,13), MARIA CLEONI DOS SANTOS MACHADO (R$1.110,31), FOXTER CIA IMOBILIARIA (R$2.664,75), Maria Ceni Rodrigues (R$1.065,90)</t>
  </si>
  <si>
    <t>https://pipeimob.auxiliadorapredial.com.br/cobranca/1768326507321x149105743577864000</t>
  </si>
  <si>
    <t>1768326507321x149105743577864000</t>
  </si>
  <si>
    <t>a386993c-07c0-42be-a3c4-368d39c48fbf</t>
  </si>
  <si>
    <t>Manoela de Souza Dalabona</t>
  </si>
  <si>
    <t>Comissões - CARLOS ESTEVAO, 273, 404, Jardim Leopoldina, Porto Alegre / RS, CEP 91240001 - credores desta cobrança: Auxiliadora Intermediadora (R$2.000,00), Guilherme  Fraga (R$500,00), Fabiono Ramos (R$1.650,00), GOETHE IMOVEIS LTDA (R$180,00), Zeli  Stelmaki Moreira (R$670,00)</t>
  </si>
  <si>
    <t>1725978726954x654108654759066900</t>
  </si>
  <si>
    <t>CARLOS ESTEVAO, 273, 404, Jardim Leopoldina, Porto Alegre / RS, CEP 91240001</t>
  </si>
  <si>
    <t>https://pipeimob.auxiliadorapredial.com.br/cobranca/1766000505229x140673254706610290</t>
  </si>
  <si>
    <t>1766000505229x140673254706610290</t>
  </si>
  <si>
    <t>101b6bd5-6522-4b6c-9ac1-f0fb42b87676</t>
  </si>
  <si>
    <t>Tereza Maria Asipovicios</t>
  </si>
  <si>
    <t>Auxiliadora Intermediadora</t>
  </si>
  <si>
    <t>Comissão - Independência, 972, 607, Independência, Porto Alegre / RS, CEP 90035072 -  - credores desta cobrança: GOETHE IMOVEIS LTDA (R$13.860,00), MARCOS HENRIQUE FREITAS BILHAR DA COSTA (R$3.960,00), Carlos Freitas (R$1.980,00), Rosemeri Dos Santos Machado (R$13.068,00)</t>
  </si>
  <si>
    <t>https://pipeimob.auxiliadorapredial.com.br/cobranca/1765808758863x650545833838390000</t>
  </si>
  <si>
    <t>1765808758863x650545833838390000</t>
  </si>
  <si>
    <t>fe8734b1-51ad-477c-9627-9657d89a0dc5</t>
  </si>
  <si>
    <t>Daniel Francisco Lucca Sanchez</t>
  </si>
  <si>
    <t>Comissões - Rua Doutor Otávio Santos, 257, Apto 507, Jardim Sabará, Porto Alegre - RS, CEP 91210001 - credores desta cobrança: FOXTER CIA IMOBILIARIA (R$1.287,00), FOXTER CIA IMOBILIARIA (R$990,00), Zeli  Stelmaki Moreira (R$1.683,00), GOETHE IMOVEIS LTDA (R$2.277,00), Renato Dalbem Diehl (R$495,00), Jorge Luis Rocha Dos Santos (R$198,00), Ana Paula de Souza Duro (R$2.970,00)</t>
  </si>
  <si>
    <t>https://pipeimob.auxiliadorapredial.com.br/cobranca/1765197867702x410646379300566800</t>
  </si>
  <si>
    <t>1765197867702x410646379300566800</t>
  </si>
  <si>
    <t>kk6g232xel65a0daee4dd13kk2840975412</t>
  </si>
  <si>
    <t>CARLOS JAYME NOGUEIRA DE OLIVEIRA JUNIOR</t>
  </si>
  <si>
    <t>FOXTER CIA IMOBILIARIA</t>
  </si>
  <si>
    <t>Comissão - da Azenha, 1338, 31, Azenha, Porto Alegre / RS, CEP 90160-003 -  - credores desta cobrança: GOETHE IMOVEIS LTDA (R$4.200,00), MARCOS HENRIQUE FREITAS BILHAR DA COSTA (R$1.200,00), ENEIAS FERNANDES DOS SANTOS (R$1.020,00), ENEIAS FERNANDES DOS SANTOS (R$1.980,00), CLEITON GREGOL (R$1.020,00), CLEITON GREGOL (R$1.980,00), Carlos Freitas (R$600,00)</t>
  </si>
  <si>
    <t>1761806790742x868737911855766300</t>
  </si>
  <si>
    <t>https://pipeimob.auxiliadorapredial.com.br/cobranca/1763076429401x951524878514061300</t>
  </si>
  <si>
    <t>1763076429401x951524878514061300</t>
  </si>
  <si>
    <t>kk6g232xel65a0daee4dd13kk2827139099</t>
  </si>
  <si>
    <t>Alessandra Gutierres Borba</t>
  </si>
  <si>
    <t>Comissões - GABRIEL FRANCO DA LUZ, 242, 303, Sarandi, Porto Alegre / RS, CEP 91120-415 - credores desta cobrança: GOETHE IMOVEIS LTDA (R$4.200,00), Pedro Henrike Freitas Bilhar da Costa (R$2.040,00), MARIA CLEONI DOS SANTOS MACHADO (R$3.960,00), Carlos Freitas (R$600,00), MARCOS HENRIQUE FREITAS BILHAR DA COSTA (R$1.200,00)</t>
  </si>
  <si>
    <t>1710512892801x146570725803976350</t>
  </si>
  <si>
    <t>GABRIEL FRANCO DA LUZ, 242, 303, Sarandi, Porto Alegre / RS, CEP 91120-415</t>
  </si>
  <si>
    <t>https://pipeimob.auxiliadorapredial.com.br/cobranca/1761589080564x961809942666585900</t>
  </si>
  <si>
    <t>1761589080564x961809942666585900</t>
  </si>
  <si>
    <t>kk6g232xel65a0daee4dd13kk2818535194</t>
  </si>
  <si>
    <t>Luiz Marques Neto</t>
  </si>
  <si>
    <t>Comissão - HIPOLITO DA COSTA, 211, 301, Santa Tereza, Porto Alegre / RS, CEP 90840-110 -  - credores desta cobrança: GOETHE IMOVEIS LTDA (R$3.024,00), Maria de Fátima da Costa Borges (R$2.851,20), Luinê  Borges (R$1.468,80), Carlos Freitas (R$432,00), MARCOS HENRIQUE FREITAS BILHAR DA COSTA (R$864,00)</t>
  </si>
  <si>
    <t>https://pipeimob.auxiliadorapredial.com.br/cobranca/1761310149804x530085991781151360</t>
  </si>
  <si>
    <t>1761310149804x530085991781151360</t>
  </si>
  <si>
    <t>kk6g232xel65a0daee4dd13kk2860058919</t>
  </si>
  <si>
    <t>Maria Zoraide Silveira Molina</t>
  </si>
  <si>
    <t>Comissões - Gabriel Franco da Luz, 560, 505, Sarandi, Porto Alegre / RS, CEP 91120415 - credores desta cobrança: GOETHE IMOVEIS LTDA (R$4.200,00), Marivane Salete Carre (R$2.040,00), Carlos Freitas (R$600,00), MARIA CLEONI DOS SANTOS MACHADO (R$3.960,00), MARCOS HENRIQUE FREITAS BILHAR DA COSTA (R$1.200,00)</t>
  </si>
  <si>
    <t>1748551672234x899522846552037500</t>
  </si>
  <si>
    <t>Gabriel Franco da Luz, 560, 505, Sarandi, Porto Alegre / RS, CEP 91120415</t>
  </si>
  <si>
    <t>https://pipeimob.auxiliadorapredial.com.br/cobranca/1760925838449x257414253563141200</t>
  </si>
  <si>
    <t>1760925838449x257414253563141200</t>
  </si>
  <si>
    <t>2f7ad429-e6b1-44ef-97cc-7a225a792bc6</t>
  </si>
  <si>
    <t>Ivanilde Lurdes Machado</t>
  </si>
  <si>
    <t>Comissões - ALMIRANTE ABREU, 354, 801, Rio Branco, Porto Alegre / RS, CEP 90420010 - credores desta cobrança: GOETHE IMOVEIS LTDA (R$13.125,00), Zeli  Stelmaki Moreira (R$12.375,00), Carlos Freitas (R$1.875,00), Luis Soares (R$3.187,50), Jornada &amp; Coelho comercialização de imóveis Ltda. (R$3.187,50), MARCOS HENRIQUE FREITAS BILHAR DA COSTA (R$3.750,00)</t>
  </si>
  <si>
    <t>https://pipeimob.auxiliadorapredial.com.br/cobranca/1752241539906x685510341591087900</t>
  </si>
  <si>
    <t>1752241539906x685510341591087900</t>
  </si>
  <si>
    <t>62ec3086-4a05-4f54-b819-bff79068baea</t>
  </si>
  <si>
    <t>Miguel Fachin Junior</t>
  </si>
  <si>
    <t>Comissões - Engenheiro Ludolfo Boehl, 931, 13, Teresópolis, Porto Alegre / RS, CEP 91720150 - credores desta cobrança: GOETHE IMOVEIS LTDA (R$3.585,45), Carlos Freitas (R$437,25), Pedro Henrike Freitas Bilhar da Costa (R$2.885,85), MARCOS HENRIQUE FREITAS BILHAR DA COSTA (R$437,25), Alvaro  Pezzi (R$437,25)</t>
  </si>
  <si>
    <t>1742752621315x114097810235321170</t>
  </si>
  <si>
    <t>Engenheiro Ludolfo Boehl, 931, 13, Teresópolis, Porto Alegre / RS, CEP 91720150</t>
  </si>
  <si>
    <t>https://pipeimob.auxiliadorapredial.com.br/cobranca/1743440908886x346920223576473660</t>
  </si>
  <si>
    <t>1743440908886x346920223576473660</t>
  </si>
  <si>
    <t>1e5b95cd-d645-4d53-b3ee-98b9507c3e4e</t>
  </si>
  <si>
    <t>Gabriel Prado Marcolino</t>
  </si>
  <si>
    <t>Comissões - Engenheiro Ludolfo Boehl, 931, 13, Teresópolis, Porto Alegre / RS, CEP 91720150 - credores desta cobrança: GOETHE IMOVEIS LTDA (R$717,50), Carlos Freitas (R$87,50), Pedro Henrike Freitas Bilhar da Costa (R$577,50), MARCOS HENRIQUE FREITAS BILHAR DA COSTA (R$87,50), Alvaro  Pezzi (R$87,50)</t>
  </si>
  <si>
    <t>https://pipeimob.auxiliadorapredial.com.br/cobranca/1743440908187x803897437451703800</t>
  </si>
  <si>
    <t>1743440908187x803897437451703800</t>
  </si>
  <si>
    <t>e8fe7f6b-faa6-4c2b-8992-4fb4ae472dcc</t>
  </si>
  <si>
    <t>mxm_of_codigo</t>
  </si>
  <si>
    <t>favorecidos_quantidade</t>
  </si>
  <si>
    <t>descricao</t>
  </si>
  <si>
    <t>transacao_data_ccv</t>
  </si>
  <si>
    <t>transacao_imovel_codigo</t>
  </si>
  <si>
    <t>transacao_id</t>
  </si>
  <si>
    <t>transacao_endereco</t>
  </si>
  <si>
    <t>url</t>
  </si>
  <si>
    <t>id_pipeimob</t>
  </si>
  <si>
    <t>id_banco</t>
  </si>
  <si>
    <t>tipo_cobranca</t>
  </si>
  <si>
    <t>cliente_pagador</t>
  </si>
  <si>
    <t>Liq Adiant</t>
  </si>
  <si>
    <t>Goethe</t>
  </si>
  <si>
    <t>valor</t>
  </si>
  <si>
    <t>valor_orginal</t>
  </si>
  <si>
    <t>forma_pagamento</t>
  </si>
  <si>
    <t>data_pagamento</t>
  </si>
  <si>
    <t>data_vencimento</t>
  </si>
  <si>
    <t>data_vencimento_original</t>
  </si>
  <si>
    <t>data_emissao</t>
  </si>
  <si>
    <t>subconta_emissora</t>
  </si>
  <si>
    <t>Atrasado</t>
  </si>
  <si>
    <t>Comissão recebida, tem que pagar o adiantamento</t>
  </si>
  <si>
    <t>Quitado em 08/12/2025</t>
  </si>
  <si>
    <t>Saldo a receber</t>
  </si>
  <si>
    <t>Royalty</t>
  </si>
  <si>
    <t>Custo Estimado</t>
  </si>
  <si>
    <t>Primeira Data</t>
  </si>
  <si>
    <t>Segunda Data</t>
  </si>
  <si>
    <t>189591 - PRAIA DE BELAS, 1762, 106, Praia de Belas, Porto Alegre / RS, CEP 90110-000</t>
  </si>
  <si>
    <t>759847 - Independência, 972, 607, Independência, Porto Alegre / RS, CEP 90035072</t>
  </si>
  <si>
    <t>719417 - Reverendo Olavo Nunes, 280, 502, Parque Santa Fé, Porto Alegre / RS, CEP 91180370</t>
  </si>
  <si>
    <t>759002 - da Azenha, 1338, 31, Azenha, Porto Alegre / RS, CEP 90160-003</t>
  </si>
  <si>
    <t>756857 - Botafogo, 1212, 1801, Menino Deus, Porto Alegre / RS, CEP 90150050</t>
  </si>
  <si>
    <t>448520 - Ferreira Viana, 885, 512, Petrópolis, Porto Alegre / RS, CEP 90670-100</t>
  </si>
  <si>
    <t>308794 - HIPOLITO DA COSTA, 211, 301, Santa Tereza, Porto Alegre / RS, CEP 90840-110</t>
  </si>
  <si>
    <t>706713 - Gabriel Franco da Luz, 560, 505, Sarandi, Porto Alegre / RS, CEP 91120415</t>
  </si>
  <si>
    <t>750147 - Jari, 735, 909, Passo da Areia, Porto Alegre / RS, CEP 91350170</t>
  </si>
  <si>
    <t>474600 - Engenheiro Ludolfo Boehl, 931, 13, Teresópolis, Porto Alegre / RS, CEP 91720150</t>
  </si>
  <si>
    <t>415673 - ALMIRANTE ABREU, 354, 801, Rio Branco, Porto Alegre / RS, CEP 90420010</t>
  </si>
  <si>
    <t>722551 - GENERAL JOAO TELLES, 68, 502, Bom Fim, Porto Alegre / RS, CEP 90035-120</t>
  </si>
  <si>
    <t>299409 CT 12564 - Rua Doutor Otávio Santos 257 Apto 50 - IMOVEL MKTPLACE</t>
  </si>
  <si>
    <t>368073 - DOUTOR POSSIDONIO CUNHA, 719, 2, Vila Assunção, Porto Alegre / RS, CEP 91900-140</t>
  </si>
  <si>
    <t>Pagto Valor</t>
  </si>
  <si>
    <t>Pagto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</si>
</sst>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8" fontId="0" fillId="0" borderId="0" xfId="0" applyNumberFormat="1"/>
    <xf numFmtId="43" fontId="0" fillId="0" borderId="0" xfId="1" applyFont="1"/>
    <xf numFmtId="8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43" fontId="0" fillId="2" borderId="0" xfId="1" applyFont="1" applyFill="1"/>
    <xf numFmtId="43" fontId="0" fillId="0" borderId="0" xfId="1" applyFont="1" applyFill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20" fontId="0" fillId="3" borderId="0" xfId="0" applyNumberFormat="1" applyFill="1"/>
    <xf numFmtId="43" fontId="0" fillId="3" borderId="0" xfId="1" applyFont="1" applyFill="1"/>
    <xf numFmtId="0" fontId="0" fillId="4" borderId="0" xfId="0" applyFill="1"/>
    <xf numFmtId="1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C1" workbookViewId="0">
      <pane xSplit="3" ySplit="1" topLeftCell="F2" activePane="bottomRight" state="frozen"/>
      <selection activeCell="C1" sqref="C1"/>
      <selection pane="topRight" activeCell="F1" sqref="F1"/>
      <selection pane="bottomLeft" activeCell="C2" sqref="C2"/>
      <selection pane="bottomRight" activeCell="C14" sqref="A14:XFD14"/>
    </sheetView>
  </sheetViews>
  <sheetFormatPr defaultRowHeight="15" x14ac:dyDescent="0.25"/>
  <cols>
    <col min="1" max="2" width="0" hidden="1" customWidth="1"/>
    <col min="3" max="3" width="21.140625" bestFit="1" customWidth="1"/>
    <col min="4" max="4" width="0" hidden="1" customWidth="1"/>
    <col min="5" max="5" width="15.28515625" style="2" bestFit="1" customWidth="1"/>
    <col min="6" max="6" width="15.85546875" style="2" bestFit="1" customWidth="1"/>
    <col min="7" max="7" width="3.85546875" hidden="1" customWidth="1"/>
    <col min="8" max="8" width="64.85546875" hidden="1" customWidth="1"/>
    <col min="9" max="9" width="77" hidden="1" customWidth="1"/>
    <col min="10" max="10" width="80.28515625" bestFit="1" customWidth="1"/>
    <col min="11" max="11" width="78" bestFit="1" customWidth="1"/>
    <col min="12" max="14" width="0" hidden="1" customWidth="1"/>
    <col min="15" max="15" width="10.7109375" bestFit="1" customWidth="1"/>
    <col min="16" max="16" width="16.140625" style="2" bestFit="1" customWidth="1"/>
    <col min="17" max="17" width="16.140625" style="2" customWidth="1"/>
    <col min="18" max="18" width="20.140625" style="2" bestFit="1" customWidth="1"/>
    <col min="19" max="22" width="20.140625" style="2" customWidth="1"/>
    <col min="23" max="23" width="45.85546875" bestFit="1" customWidth="1"/>
    <col min="24" max="24" width="11.140625" style="2" bestFit="1" customWidth="1"/>
    <col min="25" max="25" width="19" bestFit="1" customWidth="1"/>
  </cols>
  <sheetData>
    <row r="1" spans="1:25" s="8" customFormat="1" x14ac:dyDescent="0.25">
      <c r="C1" s="8" t="s">
        <v>45</v>
      </c>
      <c r="D1" s="8" t="s">
        <v>46</v>
      </c>
      <c r="E1" s="9" t="s">
        <v>47</v>
      </c>
      <c r="F1" s="9" t="s">
        <v>48</v>
      </c>
      <c r="J1" s="8" t="s">
        <v>49</v>
      </c>
      <c r="K1" s="8" t="s">
        <v>50</v>
      </c>
      <c r="O1" s="8" t="s">
        <v>39</v>
      </c>
      <c r="P1" s="9" t="s">
        <v>158</v>
      </c>
      <c r="Q1" s="9" t="s">
        <v>159</v>
      </c>
      <c r="R1" s="9" t="s">
        <v>40</v>
      </c>
      <c r="S1" s="9" t="s">
        <v>160</v>
      </c>
      <c r="T1" s="9" t="s">
        <v>161</v>
      </c>
      <c r="U1" s="9" t="s">
        <v>160</v>
      </c>
      <c r="V1" s="9" t="s">
        <v>162</v>
      </c>
      <c r="W1" s="8" t="s">
        <v>51</v>
      </c>
      <c r="X1" s="9" t="s">
        <v>177</v>
      </c>
      <c r="Y1" s="8" t="s">
        <v>178</v>
      </c>
    </row>
    <row r="2" spans="1:25" s="10" customFormat="1" x14ac:dyDescent="0.25">
      <c r="A2" s="10">
        <v>348</v>
      </c>
      <c r="B2" s="10" t="s">
        <v>1</v>
      </c>
      <c r="C2" s="11">
        <v>45992</v>
      </c>
      <c r="D2" s="12">
        <v>0.7090277777777777</v>
      </c>
      <c r="E2" s="13">
        <v>6560</v>
      </c>
      <c r="F2" s="13">
        <v>20789.689999999999</v>
      </c>
      <c r="G2" s="13"/>
      <c r="H2" s="10" t="s">
        <v>2</v>
      </c>
      <c r="I2" s="10" t="s">
        <v>3</v>
      </c>
      <c r="J2" s="10" t="s">
        <v>4</v>
      </c>
      <c r="K2" s="10" t="s">
        <v>173</v>
      </c>
      <c r="M2" s="10">
        <v>415673</v>
      </c>
      <c r="N2" s="10" t="s">
        <v>6</v>
      </c>
      <c r="O2" s="11">
        <v>46064</v>
      </c>
      <c r="P2" s="13"/>
      <c r="Q2" s="13"/>
      <c r="R2" s="13">
        <f>13125-E2-4125</f>
        <v>2440</v>
      </c>
      <c r="S2" s="13"/>
      <c r="T2" s="13"/>
      <c r="U2" s="13"/>
      <c r="V2" s="13"/>
      <c r="W2" s="10" t="s">
        <v>156</v>
      </c>
      <c r="X2" s="13"/>
    </row>
    <row r="3" spans="1:25" x14ac:dyDescent="0.25">
      <c r="A3">
        <v>349</v>
      </c>
      <c r="B3" t="s">
        <v>7</v>
      </c>
      <c r="C3" s="4">
        <v>45992</v>
      </c>
      <c r="D3" s="5">
        <v>0.71250000000000002</v>
      </c>
      <c r="E3" s="7">
        <v>6700</v>
      </c>
      <c r="F3" s="2">
        <v>27489.69</v>
      </c>
      <c r="G3" s="2"/>
      <c r="H3" t="s">
        <v>2</v>
      </c>
      <c r="I3" t="s">
        <v>8</v>
      </c>
      <c r="J3" t="s">
        <v>4</v>
      </c>
      <c r="K3" s="14" t="s">
        <v>167</v>
      </c>
      <c r="M3">
        <v>756857</v>
      </c>
      <c r="N3" t="s">
        <v>9</v>
      </c>
      <c r="R3" s="2" t="s">
        <v>157</v>
      </c>
      <c r="W3">
        <v>6929.06</v>
      </c>
      <c r="X3" s="2">
        <v>6929.06</v>
      </c>
      <c r="Y3" s="4">
        <v>45999</v>
      </c>
    </row>
    <row r="4" spans="1:25" x14ac:dyDescent="0.25">
      <c r="A4">
        <v>350</v>
      </c>
      <c r="B4" t="s">
        <v>10</v>
      </c>
      <c r="C4" s="4">
        <v>45992</v>
      </c>
      <c r="D4" s="5">
        <v>0.71319444444444446</v>
      </c>
      <c r="E4" s="7">
        <v>5710</v>
      </c>
      <c r="F4" s="2">
        <v>33199.69</v>
      </c>
      <c r="G4" s="2"/>
      <c r="H4" t="s">
        <v>2</v>
      </c>
      <c r="I4" t="s">
        <v>11</v>
      </c>
      <c r="J4" t="s">
        <v>4</v>
      </c>
      <c r="K4" s="14" t="s">
        <v>171</v>
      </c>
      <c r="M4">
        <v>750147</v>
      </c>
      <c r="N4" t="s">
        <v>12</v>
      </c>
      <c r="O4" t="s">
        <v>41</v>
      </c>
      <c r="R4" s="6">
        <v>-6000</v>
      </c>
      <c r="S4" s="6"/>
      <c r="T4" s="6"/>
      <c r="U4" s="6"/>
      <c r="V4" s="6"/>
      <c r="W4">
        <v>6193.64</v>
      </c>
      <c r="X4" s="2">
        <v>6379.45</v>
      </c>
      <c r="Y4" s="4">
        <v>46062</v>
      </c>
    </row>
    <row r="5" spans="1:25" x14ac:dyDescent="0.25">
      <c r="A5">
        <v>351</v>
      </c>
      <c r="B5" t="s">
        <v>13</v>
      </c>
      <c r="C5" s="4">
        <v>45992</v>
      </c>
      <c r="D5" s="5">
        <v>0.71388888888888891</v>
      </c>
      <c r="E5" s="7">
        <v>3090</v>
      </c>
      <c r="F5" s="2">
        <v>36289.69</v>
      </c>
      <c r="G5" s="2"/>
      <c r="H5" t="s">
        <v>2</v>
      </c>
      <c r="I5" t="s">
        <v>14</v>
      </c>
      <c r="J5" t="s">
        <v>4</v>
      </c>
      <c r="K5" s="14" t="s">
        <v>174</v>
      </c>
      <c r="M5">
        <v>722551</v>
      </c>
      <c r="N5" t="s">
        <v>15</v>
      </c>
      <c r="O5" t="s">
        <v>42</v>
      </c>
      <c r="R5" s="6">
        <v>-3300</v>
      </c>
      <c r="S5" s="6"/>
      <c r="T5" s="6"/>
      <c r="U5" s="6"/>
      <c r="V5" s="6"/>
      <c r="W5">
        <v>3346</v>
      </c>
      <c r="X5" s="2">
        <v>3446.79</v>
      </c>
      <c r="Y5" s="4">
        <v>46062</v>
      </c>
    </row>
    <row r="6" spans="1:25" x14ac:dyDescent="0.25">
      <c r="A6">
        <v>360</v>
      </c>
      <c r="B6" t="s">
        <v>20</v>
      </c>
      <c r="C6" s="4">
        <v>45992</v>
      </c>
      <c r="D6" s="5">
        <v>0.74513888888888891</v>
      </c>
      <c r="E6" s="7">
        <v>2410</v>
      </c>
      <c r="F6" s="2">
        <v>12872.78</v>
      </c>
      <c r="G6" s="2"/>
      <c r="H6" t="s">
        <v>2</v>
      </c>
      <c r="I6" t="s">
        <v>21</v>
      </c>
      <c r="J6" t="s">
        <v>4</v>
      </c>
      <c r="K6" t="s">
        <v>176</v>
      </c>
      <c r="M6">
        <v>368073</v>
      </c>
      <c r="N6" t="s">
        <v>22</v>
      </c>
      <c r="O6" t="s">
        <v>43</v>
      </c>
      <c r="R6" s="6">
        <v>-2600</v>
      </c>
      <c r="S6" s="6"/>
      <c r="T6" s="6"/>
      <c r="U6" s="6"/>
      <c r="V6" s="6"/>
    </row>
    <row r="7" spans="1:25" x14ac:dyDescent="0.25">
      <c r="A7">
        <v>423</v>
      </c>
      <c r="B7" t="s">
        <v>16</v>
      </c>
      <c r="C7" s="4">
        <v>46021</v>
      </c>
      <c r="D7" s="5">
        <v>0.63750000000000007</v>
      </c>
      <c r="E7" s="7">
        <v>6930</v>
      </c>
      <c r="F7" s="2">
        <v>15675.76</v>
      </c>
      <c r="G7" s="2"/>
      <c r="H7" t="s">
        <v>2</v>
      </c>
      <c r="I7" t="s">
        <v>17</v>
      </c>
      <c r="J7" t="s">
        <v>4</v>
      </c>
      <c r="K7" s="14" t="s">
        <v>164</v>
      </c>
      <c r="M7">
        <v>759847</v>
      </c>
      <c r="N7" t="s">
        <v>19</v>
      </c>
      <c r="O7" s="4">
        <v>46081</v>
      </c>
      <c r="R7" s="2">
        <f>13860-E7-(39600*11%)</f>
        <v>2574</v>
      </c>
      <c r="X7" s="2">
        <v>7341.69</v>
      </c>
      <c r="Y7" s="4">
        <v>46066</v>
      </c>
    </row>
    <row r="8" spans="1:25" x14ac:dyDescent="0.25">
      <c r="E8" s="7"/>
    </row>
    <row r="9" spans="1:25" x14ac:dyDescent="0.25">
      <c r="A9">
        <v>44</v>
      </c>
      <c r="B9" t="s">
        <v>23</v>
      </c>
      <c r="C9" s="4">
        <v>46027</v>
      </c>
      <c r="D9" s="5">
        <v>0.75069444444444444</v>
      </c>
      <c r="E9" s="2">
        <v>1510</v>
      </c>
      <c r="G9" t="s">
        <v>2</v>
      </c>
      <c r="H9" t="s">
        <v>24</v>
      </c>
      <c r="I9" t="s">
        <v>4</v>
      </c>
      <c r="J9" t="s">
        <v>25</v>
      </c>
      <c r="K9" t="s">
        <v>169</v>
      </c>
      <c r="L9">
        <v>308794</v>
      </c>
      <c r="M9" t="s">
        <v>26</v>
      </c>
      <c r="O9" s="4">
        <v>46052</v>
      </c>
      <c r="R9" s="2">
        <f>3024-1510-(8640*11%)</f>
        <v>563.6</v>
      </c>
    </row>
    <row r="10" spans="1:25" x14ac:dyDescent="0.25">
      <c r="A10">
        <v>45</v>
      </c>
      <c r="B10" t="s">
        <v>27</v>
      </c>
      <c r="C10" s="4">
        <v>46027</v>
      </c>
      <c r="D10" s="5">
        <v>0.74930555555555556</v>
      </c>
      <c r="E10" s="2">
        <v>2100</v>
      </c>
      <c r="G10" t="s">
        <v>2</v>
      </c>
      <c r="H10" t="s">
        <v>28</v>
      </c>
      <c r="I10" t="s">
        <v>4</v>
      </c>
      <c r="J10" t="s">
        <v>29</v>
      </c>
      <c r="K10" t="s">
        <v>165</v>
      </c>
      <c r="L10">
        <v>719417</v>
      </c>
      <c r="M10" t="s">
        <v>30</v>
      </c>
      <c r="O10" s="4">
        <v>46082</v>
      </c>
      <c r="R10" s="2">
        <f>4200-2100-(12000*11%)</f>
        <v>780</v>
      </c>
    </row>
    <row r="11" spans="1:25" x14ac:dyDescent="0.25">
      <c r="A11">
        <v>46</v>
      </c>
      <c r="B11" t="s">
        <v>31</v>
      </c>
      <c r="C11" s="4">
        <v>46027</v>
      </c>
      <c r="D11" s="5">
        <v>0.74861111111111101</v>
      </c>
      <c r="E11" s="2">
        <v>1130</v>
      </c>
      <c r="G11" t="s">
        <v>2</v>
      </c>
      <c r="H11" t="s">
        <v>32</v>
      </c>
      <c r="I11" t="s">
        <v>4</v>
      </c>
      <c r="J11" t="s">
        <v>33</v>
      </c>
      <c r="K11" t="s">
        <v>175</v>
      </c>
      <c r="L11">
        <v>299409</v>
      </c>
      <c r="M11" t="s">
        <v>34</v>
      </c>
      <c r="O11" s="4">
        <v>46086</v>
      </c>
      <c r="R11" s="2">
        <f>2277-E11-(9900*5.5%)</f>
        <v>602.5</v>
      </c>
    </row>
    <row r="12" spans="1:25" x14ac:dyDescent="0.25">
      <c r="A12">
        <v>47</v>
      </c>
      <c r="B12" t="s">
        <v>35</v>
      </c>
      <c r="C12" s="4">
        <v>46027</v>
      </c>
      <c r="D12" s="5">
        <v>0.73958333333333337</v>
      </c>
      <c r="E12" s="2">
        <v>1550</v>
      </c>
      <c r="G12" t="s">
        <v>2</v>
      </c>
      <c r="H12" t="s">
        <v>36</v>
      </c>
      <c r="I12" t="s">
        <v>4</v>
      </c>
      <c r="J12" t="s">
        <v>37</v>
      </c>
      <c r="K12" t="s">
        <v>168</v>
      </c>
      <c r="L12">
        <v>448520</v>
      </c>
      <c r="M12" t="s">
        <v>38</v>
      </c>
      <c r="O12" s="4">
        <v>46096</v>
      </c>
      <c r="R12" s="6">
        <f>1896.42-E12-(10000*11%)</f>
        <v>-753.57999999999993</v>
      </c>
      <c r="S12" s="6"/>
      <c r="T12" s="6"/>
      <c r="U12" s="6"/>
      <c r="V12" s="6"/>
      <c r="W12" t="s">
        <v>44</v>
      </c>
      <c r="X12" s="2">
        <v>1683.19</v>
      </c>
      <c r="Y12" s="4">
        <v>46064</v>
      </c>
    </row>
    <row r="14" spans="1:25" x14ac:dyDescent="0.25">
      <c r="C14" s="4">
        <v>46052</v>
      </c>
      <c r="E14" s="2">
        <v>2940</v>
      </c>
      <c r="F14" s="2">
        <v>12000</v>
      </c>
      <c r="J14" t="s">
        <v>163</v>
      </c>
      <c r="K14" t="s">
        <v>163</v>
      </c>
      <c r="O14" s="4">
        <v>46108</v>
      </c>
      <c r="P14" s="2">
        <v>991.7</v>
      </c>
      <c r="R14" s="2">
        <f>4200-2940-268.3-(F14*11%)</f>
        <v>-328.29999999999995</v>
      </c>
      <c r="S14" s="2">
        <v>268.3</v>
      </c>
      <c r="T14" s="15">
        <v>46108</v>
      </c>
      <c r="U14" s="2">
        <v>354.62</v>
      </c>
      <c r="V14" s="15">
        <v>46138</v>
      </c>
    </row>
    <row r="15" spans="1:25" x14ac:dyDescent="0.25">
      <c r="C15" s="4">
        <v>46052</v>
      </c>
      <c r="E15" s="2">
        <v>2940</v>
      </c>
      <c r="F15" s="2">
        <v>12000</v>
      </c>
      <c r="J15" t="s">
        <v>112</v>
      </c>
      <c r="K15" t="s">
        <v>170</v>
      </c>
      <c r="O15" s="4">
        <v>46083</v>
      </c>
      <c r="P15" s="2">
        <v>1071.1400000000001</v>
      </c>
      <c r="R15" s="2">
        <f>1071.14-(F15*11%)</f>
        <v>-248.8599999999999</v>
      </c>
      <c r="S15" s="2">
        <v>188.86</v>
      </c>
      <c r="T15" s="15">
        <v>46083</v>
      </c>
      <c r="U15" s="2">
        <v>274.02</v>
      </c>
      <c r="V15" s="15">
        <v>46113</v>
      </c>
    </row>
    <row r="16" spans="1:25" x14ac:dyDescent="0.25">
      <c r="C16" s="4">
        <v>46052</v>
      </c>
      <c r="E16" s="2">
        <v>2940</v>
      </c>
      <c r="F16" s="2">
        <v>12000</v>
      </c>
      <c r="J16" t="s">
        <v>0</v>
      </c>
      <c r="K16" t="s">
        <v>166</v>
      </c>
      <c r="O16" s="4">
        <v>46083</v>
      </c>
      <c r="P16" s="2">
        <v>985.98</v>
      </c>
      <c r="R16" s="2">
        <f>985.98-(11%*F16)</f>
        <v>-334.02</v>
      </c>
      <c r="S16" s="2">
        <v>188.86</v>
      </c>
      <c r="T16" s="15">
        <v>46083</v>
      </c>
      <c r="U16" s="2">
        <v>274.02</v>
      </c>
      <c r="V16" s="15">
        <v>46113</v>
      </c>
    </row>
    <row r="17" spans="3:22" x14ac:dyDescent="0.25">
      <c r="C17" s="4">
        <v>46052</v>
      </c>
      <c r="E17" s="2">
        <v>3180</v>
      </c>
      <c r="F17" s="2">
        <v>8745</v>
      </c>
      <c r="J17" t="s">
        <v>124</v>
      </c>
      <c r="K17" t="s">
        <v>172</v>
      </c>
      <c r="O17" s="4">
        <v>46122</v>
      </c>
      <c r="P17" s="2">
        <v>936.77</v>
      </c>
      <c r="R17" s="2">
        <f>1030.78-(11%*F17)</f>
        <v>68.829999999999927</v>
      </c>
      <c r="S17" s="2">
        <v>336.62</v>
      </c>
      <c r="T17" s="15">
        <v>46122</v>
      </c>
      <c r="U17" s="2">
        <v>430.67</v>
      </c>
      <c r="V17" s="15">
        <v>46152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"/>
  <sheetViews>
    <sheetView workbookViewId="0">
      <selection activeCell="P5" sqref="P5"/>
    </sheetView>
  </sheetViews>
  <sheetFormatPr defaultRowHeight="15" x14ac:dyDescent="0.25"/>
  <cols>
    <col min="1" max="1" width="26" bestFit="1" customWidth="1"/>
    <col min="2" max="2" width="13.28515625" bestFit="1" customWidth="1"/>
    <col min="3" max="3" width="24.5703125" hidden="1" customWidth="1"/>
    <col min="4" max="4" width="16.5703125" bestFit="1" customWidth="1"/>
    <col min="5" max="5" width="16" hidden="1" customWidth="1"/>
    <col min="6" max="6" width="17.5703125" hidden="1" customWidth="1"/>
    <col min="7" max="7" width="12.5703125" bestFit="1" customWidth="1"/>
    <col min="8" max="8" width="12.7109375" bestFit="1" customWidth="1"/>
    <col min="9" max="10" width="12.7109375" customWidth="1"/>
    <col min="11" max="11" width="43.28515625" customWidth="1"/>
    <col min="12" max="12" width="13.5703125" hidden="1" customWidth="1"/>
    <col min="13" max="13" width="38.140625" hidden="1" customWidth="1"/>
    <col min="14" max="14" width="33.85546875" hidden="1" customWidth="1"/>
    <col min="15" max="15" width="84" hidden="1" customWidth="1"/>
    <col min="16" max="16" width="80.28515625" customWidth="1"/>
    <col min="17" max="17" width="33.85546875" hidden="1" customWidth="1"/>
    <col min="18" max="18" width="23.85546875" hidden="1" customWidth="1"/>
    <col min="19" max="19" width="18.28515625" hidden="1" customWidth="1"/>
    <col min="20" max="20" width="255.7109375" hidden="1" customWidth="1"/>
    <col min="21" max="21" width="22.85546875" hidden="1" customWidth="1"/>
    <col min="22" max="22" width="15.28515625" hidden="1" customWidth="1"/>
  </cols>
  <sheetData>
    <row r="1" spans="1:23" x14ac:dyDescent="0.25">
      <c r="A1" t="s">
        <v>154</v>
      </c>
      <c r="B1" t="s">
        <v>153</v>
      </c>
      <c r="C1" t="s">
        <v>152</v>
      </c>
      <c r="D1" t="s">
        <v>151</v>
      </c>
      <c r="E1" t="s">
        <v>150</v>
      </c>
      <c r="F1" t="s">
        <v>149</v>
      </c>
      <c r="G1" t="s">
        <v>148</v>
      </c>
      <c r="H1" t="s">
        <v>147</v>
      </c>
      <c r="I1" t="s">
        <v>146</v>
      </c>
      <c r="J1" t="s">
        <v>145</v>
      </c>
      <c r="K1" t="s">
        <v>144</v>
      </c>
      <c r="L1" t="s">
        <v>143</v>
      </c>
      <c r="M1" t="s">
        <v>142</v>
      </c>
      <c r="N1" t="s">
        <v>141</v>
      </c>
      <c r="O1" t="s">
        <v>140</v>
      </c>
      <c r="P1" t="s">
        <v>139</v>
      </c>
      <c r="Q1" t="s">
        <v>138</v>
      </c>
      <c r="R1" t="s">
        <v>137</v>
      </c>
      <c r="S1" t="s">
        <v>136</v>
      </c>
      <c r="T1" t="s">
        <v>135</v>
      </c>
      <c r="U1" t="s">
        <v>134</v>
      </c>
      <c r="V1" t="s">
        <v>133</v>
      </c>
    </row>
    <row r="2" spans="1:23" x14ac:dyDescent="0.25">
      <c r="A2" t="s">
        <v>61</v>
      </c>
      <c r="B2" s="4">
        <v>45747</v>
      </c>
      <c r="C2" s="4">
        <v>46063</v>
      </c>
      <c r="D2" s="4">
        <v>46063</v>
      </c>
      <c r="F2" t="s">
        <v>67</v>
      </c>
      <c r="G2" s="1">
        <v>1750</v>
      </c>
      <c r="H2" s="1">
        <v>1750</v>
      </c>
      <c r="I2" s="1">
        <v>717.5</v>
      </c>
      <c r="J2" s="1">
        <f>I2</f>
        <v>717.5</v>
      </c>
      <c r="K2" t="s">
        <v>128</v>
      </c>
      <c r="L2" t="s">
        <v>58</v>
      </c>
      <c r="M2" t="s">
        <v>132</v>
      </c>
      <c r="N2" t="s">
        <v>131</v>
      </c>
      <c r="O2" t="s">
        <v>130</v>
      </c>
      <c r="P2" t="s">
        <v>124</v>
      </c>
      <c r="Q2" t="s">
        <v>123</v>
      </c>
      <c r="R2">
        <v>474600</v>
      </c>
      <c r="S2" s="4">
        <v>45739</v>
      </c>
      <c r="T2" t="s">
        <v>129</v>
      </c>
      <c r="U2">
        <v>5</v>
      </c>
    </row>
    <row r="3" spans="1:23" x14ac:dyDescent="0.25">
      <c r="A3" t="s">
        <v>61</v>
      </c>
      <c r="B3" s="4">
        <v>45747</v>
      </c>
      <c r="C3" s="4">
        <v>46122</v>
      </c>
      <c r="D3" s="4">
        <v>46122</v>
      </c>
      <c r="F3" t="s">
        <v>67</v>
      </c>
      <c r="G3" s="1">
        <v>8745</v>
      </c>
      <c r="H3" s="1">
        <v>8745</v>
      </c>
      <c r="I3" s="1">
        <v>3585.45</v>
      </c>
      <c r="J3" s="1">
        <f>I3</f>
        <v>3585.45</v>
      </c>
      <c r="K3" t="s">
        <v>128</v>
      </c>
      <c r="L3" t="s">
        <v>58</v>
      </c>
      <c r="M3" t="s">
        <v>127</v>
      </c>
      <c r="N3" t="s">
        <v>126</v>
      </c>
      <c r="O3" t="s">
        <v>125</v>
      </c>
      <c r="P3" t="s">
        <v>124</v>
      </c>
      <c r="Q3" t="s">
        <v>123</v>
      </c>
      <c r="R3">
        <v>474600</v>
      </c>
      <c r="S3" s="4">
        <v>45739</v>
      </c>
      <c r="T3" t="s">
        <v>122</v>
      </c>
      <c r="U3">
        <v>5</v>
      </c>
    </row>
    <row r="4" spans="1:23" x14ac:dyDescent="0.25">
      <c r="A4" t="s">
        <v>61</v>
      </c>
      <c r="B4" s="4">
        <v>45849</v>
      </c>
      <c r="C4" s="4">
        <v>46064</v>
      </c>
      <c r="D4" s="4">
        <v>46064</v>
      </c>
      <c r="F4" t="s">
        <v>67</v>
      </c>
      <c r="G4" s="1">
        <v>37500</v>
      </c>
      <c r="H4" s="1">
        <v>37500</v>
      </c>
      <c r="I4" s="1">
        <v>13125</v>
      </c>
      <c r="J4" s="3">
        <v>2440</v>
      </c>
      <c r="K4" t="s">
        <v>121</v>
      </c>
      <c r="L4" t="s">
        <v>58</v>
      </c>
      <c r="M4" t="s">
        <v>120</v>
      </c>
      <c r="N4" t="s">
        <v>119</v>
      </c>
      <c r="O4" t="s">
        <v>118</v>
      </c>
      <c r="P4" t="s">
        <v>5</v>
      </c>
      <c r="Q4" t="s">
        <v>6</v>
      </c>
      <c r="R4">
        <v>415673</v>
      </c>
      <c r="S4" s="4">
        <v>45848</v>
      </c>
      <c r="T4" t="s">
        <v>117</v>
      </c>
      <c r="U4">
        <v>6</v>
      </c>
    </row>
    <row r="5" spans="1:23" x14ac:dyDescent="0.25">
      <c r="A5" t="s">
        <v>61</v>
      </c>
      <c r="B5" s="4">
        <v>45949</v>
      </c>
      <c r="C5" s="4">
        <v>46010</v>
      </c>
      <c r="D5" s="4">
        <v>46070</v>
      </c>
      <c r="F5" t="s">
        <v>67</v>
      </c>
      <c r="G5" s="1">
        <v>12000</v>
      </c>
      <c r="H5" s="1">
        <v>12000</v>
      </c>
      <c r="I5" s="1">
        <v>4200</v>
      </c>
      <c r="J5" s="1">
        <f>I5</f>
        <v>4200</v>
      </c>
      <c r="K5" t="s">
        <v>116</v>
      </c>
      <c r="L5" t="s">
        <v>58</v>
      </c>
      <c r="M5" t="s">
        <v>115</v>
      </c>
      <c r="N5" t="s">
        <v>114</v>
      </c>
      <c r="O5" t="s">
        <v>113</v>
      </c>
      <c r="P5" t="s">
        <v>112</v>
      </c>
      <c r="Q5" t="s">
        <v>111</v>
      </c>
      <c r="R5">
        <v>706713</v>
      </c>
      <c r="S5" s="4">
        <v>45814</v>
      </c>
      <c r="T5" t="s">
        <v>110</v>
      </c>
      <c r="U5">
        <v>5</v>
      </c>
    </row>
    <row r="6" spans="1:23" x14ac:dyDescent="0.25">
      <c r="A6" t="s">
        <v>61</v>
      </c>
      <c r="B6" s="4">
        <v>45954</v>
      </c>
      <c r="C6" s="4">
        <v>46014</v>
      </c>
      <c r="D6" s="4">
        <v>46052</v>
      </c>
      <c r="F6" t="s">
        <v>60</v>
      </c>
      <c r="G6" s="1">
        <v>8640</v>
      </c>
      <c r="H6" s="1">
        <v>8640</v>
      </c>
      <c r="I6" s="1">
        <v>3024</v>
      </c>
      <c r="J6" s="3">
        <v>563.6</v>
      </c>
      <c r="K6" t="s">
        <v>109</v>
      </c>
      <c r="L6" t="s">
        <v>58</v>
      </c>
      <c r="M6" t="s">
        <v>108</v>
      </c>
      <c r="N6" t="s">
        <v>107</v>
      </c>
      <c r="O6" t="s">
        <v>106</v>
      </c>
      <c r="P6" t="s">
        <v>25</v>
      </c>
      <c r="Q6" t="s">
        <v>26</v>
      </c>
      <c r="R6">
        <v>308794</v>
      </c>
      <c r="S6" s="4">
        <v>45954</v>
      </c>
      <c r="T6" t="s">
        <v>105</v>
      </c>
      <c r="U6">
        <v>5</v>
      </c>
    </row>
    <row r="7" spans="1:23" x14ac:dyDescent="0.25">
      <c r="A7" t="s">
        <v>61</v>
      </c>
      <c r="B7" s="4">
        <v>45957</v>
      </c>
      <c r="C7" s="4">
        <v>46010</v>
      </c>
      <c r="D7" s="4">
        <v>46010</v>
      </c>
      <c r="F7" t="s">
        <v>60</v>
      </c>
      <c r="G7" s="1">
        <v>12000</v>
      </c>
      <c r="H7" s="1">
        <v>12000</v>
      </c>
      <c r="I7" s="1">
        <v>4200</v>
      </c>
      <c r="J7" s="1">
        <f>I7</f>
        <v>4200</v>
      </c>
      <c r="K7" t="s">
        <v>104</v>
      </c>
      <c r="L7" t="s">
        <v>58</v>
      </c>
      <c r="M7" t="s">
        <v>103</v>
      </c>
      <c r="N7" t="s">
        <v>102</v>
      </c>
      <c r="O7" t="s">
        <v>101</v>
      </c>
      <c r="P7" t="s">
        <v>100</v>
      </c>
      <c r="Q7" t="s">
        <v>99</v>
      </c>
      <c r="R7">
        <v>194678</v>
      </c>
      <c r="S7" s="4">
        <v>45855</v>
      </c>
      <c r="T7" t="s">
        <v>98</v>
      </c>
      <c r="U7">
        <v>5</v>
      </c>
      <c r="W7" t="s">
        <v>155</v>
      </c>
    </row>
    <row r="8" spans="1:23" x14ac:dyDescent="0.25">
      <c r="A8" t="s">
        <v>61</v>
      </c>
      <c r="B8" s="4">
        <v>45974</v>
      </c>
      <c r="C8" s="4">
        <v>46034</v>
      </c>
      <c r="D8" s="4">
        <v>46073</v>
      </c>
      <c r="F8" t="s">
        <v>60</v>
      </c>
      <c r="G8" s="1">
        <v>12000</v>
      </c>
      <c r="H8" s="1">
        <v>12000</v>
      </c>
      <c r="I8" s="1">
        <v>4200</v>
      </c>
      <c r="J8" s="1">
        <f>I8</f>
        <v>4200</v>
      </c>
      <c r="K8" t="s">
        <v>97</v>
      </c>
      <c r="L8" t="s">
        <v>58</v>
      </c>
      <c r="M8" t="s">
        <v>96</v>
      </c>
      <c r="N8" t="s">
        <v>95</v>
      </c>
      <c r="O8" t="s">
        <v>94</v>
      </c>
      <c r="P8" t="s">
        <v>0</v>
      </c>
      <c r="Q8" t="s">
        <v>93</v>
      </c>
      <c r="R8">
        <v>759002</v>
      </c>
      <c r="S8" s="4">
        <v>45974</v>
      </c>
      <c r="T8" t="s">
        <v>92</v>
      </c>
      <c r="U8">
        <v>7</v>
      </c>
    </row>
    <row r="9" spans="1:23" x14ac:dyDescent="0.25">
      <c r="A9" t="s">
        <v>91</v>
      </c>
      <c r="B9" s="4">
        <v>45999</v>
      </c>
      <c r="C9" s="4">
        <v>46086</v>
      </c>
      <c r="D9" s="4">
        <v>46086</v>
      </c>
      <c r="F9" t="s">
        <v>60</v>
      </c>
      <c r="G9" s="1">
        <v>9900</v>
      </c>
      <c r="H9" s="1">
        <v>9900</v>
      </c>
      <c r="I9" s="1">
        <v>2277</v>
      </c>
      <c r="J9" s="3">
        <v>602.5</v>
      </c>
      <c r="K9" t="s">
        <v>90</v>
      </c>
      <c r="L9" t="s">
        <v>58</v>
      </c>
      <c r="M9" t="s">
        <v>89</v>
      </c>
      <c r="N9" t="s">
        <v>88</v>
      </c>
      <c r="O9" t="s">
        <v>87</v>
      </c>
      <c r="P9" t="s">
        <v>33</v>
      </c>
      <c r="Q9" t="s">
        <v>34</v>
      </c>
      <c r="R9">
        <v>299409</v>
      </c>
      <c r="S9" s="4">
        <v>45996</v>
      </c>
      <c r="T9" t="s">
        <v>86</v>
      </c>
      <c r="U9">
        <v>7</v>
      </c>
    </row>
    <row r="10" spans="1:23" x14ac:dyDescent="0.25">
      <c r="A10" t="s">
        <v>61</v>
      </c>
      <c r="B10" s="4">
        <v>46006</v>
      </c>
      <c r="C10" s="4">
        <v>46036</v>
      </c>
      <c r="D10" s="4">
        <v>46081</v>
      </c>
      <c r="F10" t="s">
        <v>67</v>
      </c>
      <c r="G10" s="1">
        <v>39600</v>
      </c>
      <c r="H10" s="1">
        <v>39600</v>
      </c>
      <c r="I10" s="1">
        <v>13860</v>
      </c>
      <c r="J10" s="3">
        <v>2574</v>
      </c>
      <c r="K10" t="s">
        <v>85</v>
      </c>
      <c r="L10" t="s">
        <v>58</v>
      </c>
      <c r="M10" t="s">
        <v>84</v>
      </c>
      <c r="N10" t="s">
        <v>83</v>
      </c>
      <c r="O10" t="s">
        <v>82</v>
      </c>
      <c r="P10" t="s">
        <v>18</v>
      </c>
      <c r="Q10" t="s">
        <v>19</v>
      </c>
      <c r="R10">
        <v>759847</v>
      </c>
      <c r="S10" s="4">
        <v>46006</v>
      </c>
      <c r="T10" t="s">
        <v>81</v>
      </c>
      <c r="U10">
        <v>4</v>
      </c>
    </row>
    <row r="11" spans="1:23" x14ac:dyDescent="0.25">
      <c r="A11" t="s">
        <v>80</v>
      </c>
      <c r="B11" s="4">
        <v>46008</v>
      </c>
      <c r="C11" s="4">
        <v>46105</v>
      </c>
      <c r="D11" s="4">
        <v>46105</v>
      </c>
      <c r="F11" t="s">
        <v>67</v>
      </c>
      <c r="G11" s="1">
        <v>5000</v>
      </c>
      <c r="H11" s="1">
        <v>5000</v>
      </c>
      <c r="I11" s="1">
        <v>180</v>
      </c>
      <c r="J11" s="1">
        <f>I11</f>
        <v>180</v>
      </c>
      <c r="K11" t="s">
        <v>79</v>
      </c>
      <c r="L11" t="s">
        <v>58</v>
      </c>
      <c r="M11" t="s">
        <v>78</v>
      </c>
      <c r="N11" t="s">
        <v>77</v>
      </c>
      <c r="O11" t="s">
        <v>76</v>
      </c>
      <c r="P11" t="s">
        <v>75</v>
      </c>
      <c r="Q11" t="s">
        <v>74</v>
      </c>
      <c r="R11">
        <v>454042</v>
      </c>
      <c r="S11" s="4">
        <v>45995</v>
      </c>
      <c r="T11" t="s">
        <v>73</v>
      </c>
      <c r="U11">
        <v>5</v>
      </c>
    </row>
    <row r="12" spans="1:23" x14ac:dyDescent="0.25">
      <c r="A12" t="s">
        <v>61</v>
      </c>
      <c r="B12" s="4">
        <v>46035</v>
      </c>
      <c r="C12" s="4">
        <v>46096</v>
      </c>
      <c r="D12" s="4">
        <v>46096</v>
      </c>
      <c r="F12" t="s">
        <v>67</v>
      </c>
      <c r="G12" s="1">
        <v>8882.5</v>
      </c>
      <c r="H12" s="1">
        <v>10836.65</v>
      </c>
      <c r="I12" s="1">
        <v>1554.44</v>
      </c>
      <c r="J12" s="3">
        <v>-753.58</v>
      </c>
      <c r="K12" t="s">
        <v>72</v>
      </c>
      <c r="L12" t="s">
        <v>58</v>
      </c>
      <c r="M12" t="s">
        <v>71</v>
      </c>
      <c r="N12" t="s">
        <v>70</v>
      </c>
      <c r="O12" t="s">
        <v>69</v>
      </c>
      <c r="P12" t="s">
        <v>37</v>
      </c>
      <c r="Q12" t="s">
        <v>38</v>
      </c>
      <c r="R12">
        <v>448520</v>
      </c>
      <c r="S12" s="4">
        <v>45961</v>
      </c>
      <c r="T12" t="s">
        <v>68</v>
      </c>
      <c r="U12">
        <v>8</v>
      </c>
    </row>
    <row r="13" spans="1:23" x14ac:dyDescent="0.25">
      <c r="A13" t="s">
        <v>61</v>
      </c>
      <c r="B13" s="4">
        <v>46036</v>
      </c>
      <c r="C13" s="4">
        <v>46082</v>
      </c>
      <c r="D13" s="4">
        <v>46082</v>
      </c>
      <c r="F13" t="s">
        <v>67</v>
      </c>
      <c r="G13" s="1">
        <v>12000</v>
      </c>
      <c r="H13" s="1">
        <v>12000</v>
      </c>
      <c r="I13" s="1">
        <v>4200</v>
      </c>
      <c r="J13" s="3">
        <v>780</v>
      </c>
      <c r="K13" t="s">
        <v>66</v>
      </c>
      <c r="L13" t="s">
        <v>58</v>
      </c>
      <c r="M13" t="s">
        <v>65</v>
      </c>
      <c r="N13" t="s">
        <v>64</v>
      </c>
      <c r="O13" t="s">
        <v>63</v>
      </c>
      <c r="P13" t="s">
        <v>29</v>
      </c>
      <c r="Q13" t="s">
        <v>30</v>
      </c>
      <c r="R13">
        <v>719417</v>
      </c>
      <c r="S13" s="4">
        <v>46022</v>
      </c>
      <c r="T13" t="s">
        <v>62</v>
      </c>
      <c r="U13">
        <v>6</v>
      </c>
    </row>
    <row r="14" spans="1:23" x14ac:dyDescent="0.25">
      <c r="A14" t="s">
        <v>61</v>
      </c>
      <c r="B14" s="4">
        <v>46048</v>
      </c>
      <c r="C14" s="4">
        <v>46108</v>
      </c>
      <c r="D14" s="4">
        <v>46108</v>
      </c>
      <c r="F14" t="s">
        <v>60</v>
      </c>
      <c r="G14" s="1">
        <v>12000</v>
      </c>
      <c r="H14" s="1">
        <v>12000</v>
      </c>
      <c r="I14" s="1">
        <v>4200</v>
      </c>
      <c r="J14" s="1">
        <f>I14</f>
        <v>4200</v>
      </c>
      <c r="K14" t="s">
        <v>59</v>
      </c>
      <c r="L14" t="s">
        <v>58</v>
      </c>
      <c r="M14" t="s">
        <v>57</v>
      </c>
      <c r="N14" t="s">
        <v>56</v>
      </c>
      <c r="O14" t="s">
        <v>55</v>
      </c>
      <c r="P14" t="s">
        <v>54</v>
      </c>
      <c r="Q14" t="s">
        <v>53</v>
      </c>
      <c r="R14">
        <v>189591</v>
      </c>
      <c r="S14" s="4">
        <v>46048</v>
      </c>
      <c r="T14" t="s">
        <v>52</v>
      </c>
      <c r="U14">
        <v>4</v>
      </c>
    </row>
    <row r="15" spans="1:23" x14ac:dyDescent="0.25">
      <c r="G15" s="1">
        <f>SUM(G2:G14)</f>
        <v>180017.5</v>
      </c>
      <c r="H15" s="1">
        <f>SUM(H2:H14)</f>
        <v>181971.65</v>
      </c>
      <c r="I15" s="1">
        <f>SUM(I2:I14)</f>
        <v>59323.39</v>
      </c>
      <c r="J15" s="1">
        <f>SUM(J2:J14)</f>
        <v>27489.47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Adiantamentos</vt:lpstr>
      <vt:lpstr>Projeção de Recebimentos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2025-11-30T19:22:55Z</dcterms:created>
  <dcterms:modified xsi:type="dcterms:W3CDTF">2026-03-10T21:07:24Z</dcterms:modified>
</cp:coreProperties>
</file>