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Moinhos\Aluguel\"/>
    </mc:Choice>
  </mc:AlternateContent>
  <xr:revisionPtr revIDLastSave="0" documentId="13_ncr:1_{91B78D1B-FF3F-4296-8ECD-6B9100CEAAA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2026 01" sheetId="2" r:id="rId1"/>
    <sheet name="Consultor CLT" sheetId="3" r:id="rId2"/>
    <sheet name="Consultor Contrato" sheetId="4" r:id="rId3"/>
    <sheet name="Captador CLT" sheetId="5" r:id="rId4"/>
    <sheet name="Captador Contrato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2" l="1"/>
  <c r="O27" i="2" s="1"/>
  <c r="I27" i="2" l="1"/>
  <c r="F33" i="4"/>
  <c r="F33" i="3"/>
  <c r="F33" i="5"/>
  <c r="F33" i="6"/>
  <c r="J45" i="6"/>
  <c r="K45" i="6" s="1"/>
  <c r="J44" i="6"/>
  <c r="K44" i="6" s="1"/>
  <c r="J43" i="6"/>
  <c r="K43" i="6" s="1"/>
  <c r="J42" i="6"/>
  <c r="K42" i="6" s="1"/>
  <c r="J41" i="6"/>
  <c r="K41" i="6" s="1"/>
  <c r="F41" i="6"/>
  <c r="K40" i="6"/>
  <c r="J40" i="6"/>
  <c r="F40" i="6"/>
  <c r="J39" i="6"/>
  <c r="K39" i="6" s="1"/>
  <c r="G37" i="6"/>
  <c r="F37" i="6"/>
  <c r="F29" i="6"/>
  <c r="F28" i="6"/>
  <c r="F27" i="6"/>
  <c r="F19" i="6"/>
  <c r="F18" i="6"/>
  <c r="F14" i="6"/>
  <c r="F13" i="6"/>
  <c r="F8" i="6"/>
  <c r="G8" i="6" s="1"/>
  <c r="N7" i="6"/>
  <c r="G7" i="6"/>
  <c r="F7" i="6"/>
  <c r="N6" i="6"/>
  <c r="M6" i="6"/>
  <c r="M7" i="6" s="1"/>
  <c r="O7" i="6" s="1"/>
  <c r="F58" i="6" s="1"/>
  <c r="L6" i="6"/>
  <c r="L7" i="6" s="1"/>
  <c r="G6" i="6"/>
  <c r="F6" i="6"/>
  <c r="O5" i="6"/>
  <c r="O4" i="6"/>
  <c r="O3" i="6"/>
  <c r="F41" i="5"/>
  <c r="F8" i="5"/>
  <c r="M12" i="5"/>
  <c r="F40" i="5"/>
  <c r="F37" i="5"/>
  <c r="M7" i="5"/>
  <c r="F9" i="6" l="1"/>
  <c r="F15" i="6" s="1"/>
  <c r="G9" i="6"/>
  <c r="O6" i="6"/>
  <c r="M14" i="5"/>
  <c r="J45" i="5"/>
  <c r="K45" i="5" s="1"/>
  <c r="K44" i="5"/>
  <c r="J44" i="5"/>
  <c r="J43" i="5"/>
  <c r="K43" i="5" s="1"/>
  <c r="K42" i="5"/>
  <c r="J42" i="5"/>
  <c r="J41" i="5"/>
  <c r="K41" i="5" s="1"/>
  <c r="K40" i="5"/>
  <c r="J40" i="5"/>
  <c r="J39" i="5"/>
  <c r="K39" i="5" s="1"/>
  <c r="G37" i="5"/>
  <c r="F29" i="5"/>
  <c r="F28" i="5"/>
  <c r="F27" i="5"/>
  <c r="F26" i="5"/>
  <c r="F24" i="5"/>
  <c r="F32" i="5" s="1"/>
  <c r="F19" i="5"/>
  <c r="F18" i="5"/>
  <c r="F14" i="5"/>
  <c r="F13" i="5"/>
  <c r="G8" i="5"/>
  <c r="G9" i="5" s="1"/>
  <c r="N7" i="5"/>
  <c r="O7" i="5"/>
  <c r="F58" i="5" s="1"/>
  <c r="G7" i="5"/>
  <c r="F7" i="5"/>
  <c r="N6" i="5"/>
  <c r="O6" i="5" s="1"/>
  <c r="M6" i="5"/>
  <c r="L6" i="5"/>
  <c r="L7" i="5" s="1"/>
  <c r="G6" i="5"/>
  <c r="F6" i="5"/>
  <c r="O5" i="5"/>
  <c r="O4" i="5"/>
  <c r="O3" i="5"/>
  <c r="F3" i="4"/>
  <c r="F19" i="4" s="1"/>
  <c r="F49" i="4"/>
  <c r="F48" i="4"/>
  <c r="F48" i="3"/>
  <c r="F49" i="3"/>
  <c r="F40" i="4"/>
  <c r="G37" i="4"/>
  <c r="F37" i="4"/>
  <c r="F24" i="4"/>
  <c r="F32" i="4" s="1"/>
  <c r="F14" i="4"/>
  <c r="F13" i="4"/>
  <c r="G7" i="4"/>
  <c r="G6" i="4"/>
  <c r="F37" i="3"/>
  <c r="G37" i="3"/>
  <c r="F40" i="3"/>
  <c r="F24" i="3"/>
  <c r="F32" i="3" s="1"/>
  <c r="F19" i="3"/>
  <c r="F18" i="3"/>
  <c r="F14" i="3"/>
  <c r="F13" i="3"/>
  <c r="G8" i="3"/>
  <c r="G7" i="3"/>
  <c r="F7" i="3" s="1"/>
  <c r="G6" i="3"/>
  <c r="F6" i="3" s="1"/>
  <c r="F13" i="2"/>
  <c r="F33" i="2"/>
  <c r="O4" i="2"/>
  <c r="O5" i="2"/>
  <c r="O3" i="2"/>
  <c r="N6" i="2"/>
  <c r="N7" i="2" s="1"/>
  <c r="F14" i="2"/>
  <c r="G37" i="2"/>
  <c r="F16" i="6" l="1"/>
  <c r="F20" i="6" s="1"/>
  <c r="F17" i="6"/>
  <c r="F11" i="6"/>
  <c r="F31" i="5"/>
  <c r="F25" i="5"/>
  <c r="F9" i="5"/>
  <c r="F15" i="5" s="1"/>
  <c r="F7" i="4"/>
  <c r="F18" i="4"/>
  <c r="F6" i="4"/>
  <c r="F9" i="4" s="1"/>
  <c r="F15" i="4" s="1"/>
  <c r="G8" i="4"/>
  <c r="G9" i="4"/>
  <c r="F31" i="4"/>
  <c r="F31" i="3"/>
  <c r="F26" i="3"/>
  <c r="F25" i="3"/>
  <c r="F9" i="3"/>
  <c r="F16" i="3" s="1"/>
  <c r="G9" i="3"/>
  <c r="F40" i="2"/>
  <c r="F37" i="2"/>
  <c r="L6" i="2"/>
  <c r="L7" i="2" s="1"/>
  <c r="F19" i="2"/>
  <c r="G8" i="2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F29" i="2"/>
  <c r="F28" i="2"/>
  <c r="G27" i="2"/>
  <c r="F27" i="2" s="1"/>
  <c r="F31" i="2"/>
  <c r="F18" i="2"/>
  <c r="G7" i="2"/>
  <c r="F7" i="2" s="1"/>
  <c r="G6" i="2"/>
  <c r="F22" i="6" l="1"/>
  <c r="G22" i="6" s="1"/>
  <c r="G20" i="6"/>
  <c r="F11" i="5"/>
  <c r="F16" i="5"/>
  <c r="F17" i="5"/>
  <c r="F11" i="4"/>
  <c r="F16" i="4"/>
  <c r="F17" i="4"/>
  <c r="F20" i="4" s="1"/>
  <c r="F17" i="3"/>
  <c r="F15" i="3"/>
  <c r="F11" i="3"/>
  <c r="F6" i="2"/>
  <c r="F9" i="2" s="1"/>
  <c r="G9" i="2"/>
  <c r="M6" i="2"/>
  <c r="F32" i="2"/>
  <c r="F25" i="2"/>
  <c r="F26" i="2"/>
  <c r="F11" i="2" l="1"/>
  <c r="F15" i="2"/>
  <c r="F34" i="6"/>
  <c r="F52" i="6" s="1"/>
  <c r="F56" i="6" s="1"/>
  <c r="F60" i="6" s="1"/>
  <c r="F20" i="5"/>
  <c r="F22" i="5" s="1"/>
  <c r="F34" i="5" s="1"/>
  <c r="F20" i="3"/>
  <c r="G20" i="4"/>
  <c r="F22" i="4"/>
  <c r="F34" i="4" s="1"/>
  <c r="F52" i="4" s="1"/>
  <c r="F56" i="4" s="1"/>
  <c r="G22" i="4"/>
  <c r="F22" i="3"/>
  <c r="F34" i="3" s="1"/>
  <c r="F52" i="3" s="1"/>
  <c r="F56" i="3" s="1"/>
  <c r="G20" i="3"/>
  <c r="M7" i="2"/>
  <c r="O6" i="2"/>
  <c r="F17" i="2"/>
  <c r="F16" i="2"/>
  <c r="F52" i="5" l="1"/>
  <c r="F56" i="5" s="1"/>
  <c r="F60" i="5" s="1"/>
  <c r="G22" i="5"/>
  <c r="G20" i="5"/>
  <c r="G22" i="3"/>
  <c r="F20" i="2"/>
  <c r="G20" i="2" s="1"/>
  <c r="O7" i="2"/>
  <c r="F58" i="2" s="1"/>
  <c r="F22" i="2" l="1"/>
  <c r="G22" i="2" s="1"/>
  <c r="F34" i="2" l="1"/>
  <c r="F52" i="2" s="1"/>
  <c r="F56" i="2" s="1"/>
  <c r="F60" i="2" s="1"/>
</calcChain>
</file>

<file path=xl/sharedStrings.xml><?xml version="1.0" encoding="utf-8"?>
<sst xmlns="http://schemas.openxmlformats.org/spreadsheetml/2006/main" count="327" uniqueCount="70">
  <si>
    <t>Marcos</t>
  </si>
  <si>
    <t>Ana</t>
  </si>
  <si>
    <t>Michele</t>
  </si>
  <si>
    <t>Intermediação</t>
  </si>
  <si>
    <t>Campanha</t>
  </si>
  <si>
    <t>Int. Franquia</t>
  </si>
  <si>
    <t>Consultor</t>
  </si>
  <si>
    <t>Aluguel com agenciamento de corretor</t>
  </si>
  <si>
    <t>Resultado Bruto</t>
  </si>
  <si>
    <t>Impostos</t>
  </si>
  <si>
    <t>Décimo Terceiro</t>
  </si>
  <si>
    <t>Férias</t>
  </si>
  <si>
    <t>Campanha de Captação</t>
  </si>
  <si>
    <t>01 &gt; 05</t>
  </si>
  <si>
    <t>6 &gt; 10</t>
  </si>
  <si>
    <t>11 &gt; 15</t>
  </si>
  <si>
    <t>16 &gt; 20</t>
  </si>
  <si>
    <t>21 &gt; 30</t>
  </si>
  <si>
    <t>31 &gt; 40</t>
  </si>
  <si>
    <t>41 +</t>
  </si>
  <si>
    <t>100 +</t>
  </si>
  <si>
    <t>50 +</t>
  </si>
  <si>
    <t>Campanha Sucesso de locação</t>
  </si>
  <si>
    <t>Indica</t>
  </si>
  <si>
    <t>R$ 100,00 por age vendido</t>
  </si>
  <si>
    <t>Pagamos R$50,00 por age</t>
  </si>
  <si>
    <t>Folha Fixa</t>
  </si>
  <si>
    <t>VT (M e A)</t>
  </si>
  <si>
    <t>Pessoas</t>
  </si>
  <si>
    <t>FGTS</t>
  </si>
  <si>
    <t>INSS</t>
  </si>
  <si>
    <t>Rateio (M e A)</t>
  </si>
  <si>
    <t>Rateio VA (M e A)</t>
  </si>
  <si>
    <t>Fixo Marcos</t>
  </si>
  <si>
    <t>RATEIO</t>
  </si>
  <si>
    <t>Resultado Líquido de Aluguel</t>
  </si>
  <si>
    <t>Resultado Final com Rateio</t>
  </si>
  <si>
    <t>Uber</t>
  </si>
  <si>
    <t>do Total + Campanha Sucesso de Locação</t>
  </si>
  <si>
    <t>Assistente</t>
  </si>
  <si>
    <t>Vai entrar em março/26</t>
  </si>
  <si>
    <t>Ainda está pendente</t>
  </si>
  <si>
    <t>VGL</t>
  </si>
  <si>
    <t>Entrou em fevereiro/26</t>
  </si>
  <si>
    <t>Pago AP</t>
  </si>
  <si>
    <t>Transf.</t>
  </si>
  <si>
    <t>Líquido</t>
  </si>
  <si>
    <t>Pagamento AP</t>
  </si>
  <si>
    <t>Transferência Para captadores</t>
  </si>
  <si>
    <t>Diferença a receber</t>
  </si>
  <si>
    <t>Interm. Franquia</t>
  </si>
  <si>
    <t>Celular</t>
  </si>
  <si>
    <t>IA Aluguel - Luan</t>
  </si>
  <si>
    <t>Chaveiro</t>
  </si>
  <si>
    <t>Resultado Líquido da Folha e Impostos</t>
  </si>
  <si>
    <t>Fluxo de Caixa Não Recebido</t>
  </si>
  <si>
    <t>Superavit/Déficit de Caixa</t>
  </si>
  <si>
    <t>Ref.</t>
  </si>
  <si>
    <t>Relatório Marcos</t>
  </si>
  <si>
    <t>Agenciamento Captador</t>
  </si>
  <si>
    <t>Agenciamento Corretores</t>
  </si>
  <si>
    <t>Captador</t>
  </si>
  <si>
    <t>Corretor Agenciador</t>
  </si>
  <si>
    <t>Agenc</t>
  </si>
  <si>
    <t>Interm e Agenc</t>
  </si>
  <si>
    <t>Agenc na Operação Própria</t>
  </si>
  <si>
    <t>Agenc na locação de outras Agências</t>
  </si>
  <si>
    <t>Faturamento Total</t>
  </si>
  <si>
    <t>CLT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</si>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</sst>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_-* #,##0.00000_-;\-* #,##0.00000_-;_-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43" fontId="0" fillId="0" borderId="1" xfId="1" applyFont="1" applyBorder="1"/>
    <xf numFmtId="0" fontId="0" fillId="0" borderId="2" xfId="0" applyBorder="1"/>
    <xf numFmtId="0" fontId="0" fillId="0" borderId="3" xfId="0" applyBorder="1"/>
    <xf numFmtId="43" fontId="0" fillId="0" borderId="4" xfId="1" applyFont="1" applyBorder="1"/>
    <xf numFmtId="43" fontId="0" fillId="0" borderId="5" xfId="1" applyFont="1" applyBorder="1"/>
    <xf numFmtId="0" fontId="0" fillId="0" borderId="6" xfId="0" applyBorder="1"/>
    <xf numFmtId="43" fontId="0" fillId="0" borderId="0" xfId="1" applyFont="1" applyBorder="1"/>
    <xf numFmtId="43" fontId="0" fillId="0" borderId="7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" fontId="0" fillId="0" borderId="4" xfId="0" applyNumberFormat="1" applyBorder="1"/>
    <xf numFmtId="43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43" fontId="0" fillId="2" borderId="0" xfId="0" applyNumberFormat="1" applyFill="1"/>
    <xf numFmtId="43" fontId="0" fillId="0" borderId="11" xfId="0" applyNumberFormat="1" applyBorder="1"/>
    <xf numFmtId="43" fontId="0" fillId="3" borderId="11" xfId="0" applyNumberForma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/>
    </xf>
    <xf numFmtId="43" fontId="0" fillId="0" borderId="12" xfId="1" applyFont="1" applyBorder="1"/>
    <xf numFmtId="1" fontId="2" fillId="0" borderId="0" xfId="0" applyNumberFormat="1" applyFont="1" applyAlignment="1">
      <alignment horizontal="center"/>
    </xf>
    <xf numFmtId="43" fontId="2" fillId="0" borderId="0" xfId="1" applyFont="1"/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9" fontId="0" fillId="2" borderId="0" xfId="0" applyNumberFormat="1" applyFill="1"/>
    <xf numFmtId="43" fontId="0" fillId="0" borderId="12" xfId="0" applyNumberFormat="1" applyBorder="1"/>
    <xf numFmtId="166" fontId="0" fillId="0" borderId="0" xfId="2" applyNumberFormat="1" applyFont="1" applyFill="1"/>
    <xf numFmtId="43" fontId="0" fillId="2" borderId="0" xfId="1" applyFont="1" applyFill="1"/>
    <xf numFmtId="10" fontId="0" fillId="2" borderId="0" xfId="0" applyNumberFormat="1" applyFill="1"/>
    <xf numFmtId="43" fontId="3" fillId="0" borderId="13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3" fontId="0" fillId="0" borderId="13" xfId="1" applyFont="1" applyBorder="1"/>
    <xf numFmtId="43" fontId="0" fillId="0" borderId="13" xfId="0" applyNumberFormat="1" applyBorder="1"/>
  </cellXfs>
  <cellStyles count="3">
    <cellStyle name="Normal" xfId="0" builtinId="0"/>
    <cellStyle name="Porcentagem" xfId="2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041-AD55-4180-95C5-25B9B322A7E6}">
  <dimension ref="C1:O60"/>
  <sheetViews>
    <sheetView tabSelected="1" topLeftCell="C1" workbookViewId="0">
      <selection activeCell="O26" sqref="O26"/>
    </sheetView>
  </sheetViews>
  <sheetFormatPr defaultRowHeight="15" x14ac:dyDescent="0.25"/>
  <cols>
    <col min="4" max="4" width="4.140625" customWidth="1"/>
    <col min="5" max="5" width="36.140625" bestFit="1" customWidth="1"/>
    <col min="6" max="6" width="15.28515625" bestFit="1" customWidth="1"/>
    <col min="7" max="7" width="9.5703125" bestFit="1" customWidth="1"/>
    <col min="9" max="10" width="9.5703125" bestFit="1" customWidth="1"/>
    <col min="11" max="11" width="22.140625" bestFit="1" customWidth="1"/>
    <col min="12" max="12" width="10.5703125" bestFit="1" customWidth="1"/>
    <col min="13" max="13" width="15.85546875" bestFit="1" customWidth="1"/>
    <col min="14" max="14" width="10.5703125" bestFit="1" customWidth="1"/>
    <col min="15" max="15" width="14.5703125" bestFit="1" customWidth="1"/>
  </cols>
  <sheetData>
    <row r="1" spans="5:15" x14ac:dyDescent="0.25">
      <c r="E1" t="s">
        <v>7</v>
      </c>
    </row>
    <row r="2" spans="5:15" ht="15.75" thickBot="1" x14ac:dyDescent="0.3">
      <c r="L2" s="26" t="s">
        <v>42</v>
      </c>
      <c r="M2" s="26" t="s">
        <v>50</v>
      </c>
      <c r="N2" s="26" t="s">
        <v>63</v>
      </c>
      <c r="O2" s="26" t="s">
        <v>64</v>
      </c>
    </row>
    <row r="3" spans="5:15" ht="15.75" thickBot="1" x14ac:dyDescent="0.3">
      <c r="E3" t="s">
        <v>3</v>
      </c>
      <c r="F3" s="25">
        <v>25000</v>
      </c>
      <c r="G3" s="1">
        <v>1</v>
      </c>
      <c r="K3" t="s">
        <v>43</v>
      </c>
      <c r="L3" s="40">
        <v>13250</v>
      </c>
      <c r="M3" s="40">
        <v>13912.5</v>
      </c>
      <c r="N3" s="40">
        <v>5295</v>
      </c>
      <c r="O3" s="5">
        <f>M3+N3</f>
        <v>19207.5</v>
      </c>
    </row>
    <row r="4" spans="5:15" ht="15.75" thickBot="1" x14ac:dyDescent="0.3">
      <c r="E4" t="s">
        <v>59</v>
      </c>
      <c r="F4" s="25">
        <v>20150</v>
      </c>
      <c r="G4" s="1"/>
      <c r="K4" t="s">
        <v>40</v>
      </c>
      <c r="L4" s="40">
        <v>6400</v>
      </c>
      <c r="M4" s="40">
        <v>6720</v>
      </c>
      <c r="N4" s="40">
        <v>5520</v>
      </c>
      <c r="O4" s="5">
        <f t="shared" ref="O4:O7" si="0">M4+N4</f>
        <v>12240</v>
      </c>
    </row>
    <row r="5" spans="5:15" ht="15.75" thickBot="1" x14ac:dyDescent="0.3">
      <c r="E5" t="s">
        <v>60</v>
      </c>
      <c r="F5" s="25">
        <v>20500</v>
      </c>
      <c r="G5" s="1"/>
      <c r="K5" t="s">
        <v>41</v>
      </c>
      <c r="L5" s="40">
        <v>4100</v>
      </c>
      <c r="M5" s="40">
        <v>4305</v>
      </c>
      <c r="N5" s="40">
        <v>1380</v>
      </c>
      <c r="O5" s="5">
        <f t="shared" si="0"/>
        <v>5685</v>
      </c>
    </row>
    <row r="6" spans="5:15" x14ac:dyDescent="0.25">
      <c r="E6" t="s">
        <v>4</v>
      </c>
      <c r="F6" s="5">
        <f>G6*F$3</f>
        <v>8750</v>
      </c>
      <c r="G6" s="1">
        <f>35%*100%</f>
        <v>0.35</v>
      </c>
      <c r="L6" s="30">
        <f>SUM(L3:L5)</f>
        <v>23750</v>
      </c>
      <c r="M6" s="30">
        <f>SUM(M3:M5)</f>
        <v>24937.5</v>
      </c>
      <c r="N6" s="30">
        <f>SUM(N3:N5)</f>
        <v>12195</v>
      </c>
      <c r="O6" s="38">
        <f t="shared" si="0"/>
        <v>37132.5</v>
      </c>
    </row>
    <row r="7" spans="5:15" ht="15.75" thickBot="1" x14ac:dyDescent="0.3">
      <c r="E7" t="s">
        <v>5</v>
      </c>
      <c r="F7" s="5">
        <f>G7*F$3</f>
        <v>17500</v>
      </c>
      <c r="G7" s="1">
        <f>70%*G3</f>
        <v>0.7</v>
      </c>
      <c r="K7" t="s">
        <v>49</v>
      </c>
      <c r="L7" s="7">
        <f>L3-L6</f>
        <v>-10500</v>
      </c>
      <c r="M7" s="7">
        <f>M3-M6</f>
        <v>-11025</v>
      </c>
      <c r="N7" s="7">
        <f>N3-N6</f>
        <v>-6900</v>
      </c>
      <c r="O7" s="19">
        <f t="shared" si="0"/>
        <v>-17925</v>
      </c>
    </row>
    <row r="8" spans="5:15" ht="15.75" thickTop="1" x14ac:dyDescent="0.25">
      <c r="E8" t="s">
        <v>65</v>
      </c>
      <c r="F8" s="23">
        <v>5625</v>
      </c>
      <c r="G8" s="39">
        <f>F8/F3</f>
        <v>0.22500000000000001</v>
      </c>
    </row>
    <row r="9" spans="5:15" ht="15.75" thickBot="1" x14ac:dyDescent="0.3">
      <c r="F9" s="19">
        <f>SUM(F6:F8)</f>
        <v>31875</v>
      </c>
      <c r="G9" s="35">
        <f>SUM(G6:G8)</f>
        <v>1.2749999999999999</v>
      </c>
      <c r="H9" s="36"/>
    </row>
    <row r="10" spans="5:15" ht="15.75" thickTop="1" x14ac:dyDescent="0.25">
      <c r="E10" t="s">
        <v>66</v>
      </c>
      <c r="F10" s="23">
        <v>6570</v>
      </c>
      <c r="G10" s="39"/>
    </row>
    <row r="11" spans="5:15" ht="15.75" thickBot="1" x14ac:dyDescent="0.3">
      <c r="E11" t="s">
        <v>67</v>
      </c>
      <c r="F11" s="19">
        <f>F9+F10</f>
        <v>38445</v>
      </c>
      <c r="G11" s="1"/>
      <c r="M11" s="4"/>
      <c r="N11">
        <v>3315</v>
      </c>
    </row>
    <row r="12" spans="5:15" ht="15.75" thickTop="1" x14ac:dyDescent="0.25">
      <c r="F12" s="5"/>
      <c r="G12" s="1"/>
      <c r="M12" s="4"/>
      <c r="N12">
        <v>1980</v>
      </c>
    </row>
    <row r="13" spans="5:15" x14ac:dyDescent="0.25">
      <c r="E13" t="s">
        <v>61</v>
      </c>
      <c r="F13" s="5">
        <f>F4*G13</f>
        <v>2216.5</v>
      </c>
      <c r="G13" s="37">
        <v>0.11</v>
      </c>
      <c r="M13" s="4"/>
    </row>
    <row r="14" spans="5:15" x14ac:dyDescent="0.25">
      <c r="E14" t="s">
        <v>62</v>
      </c>
      <c r="F14" s="5">
        <f>F5*G14</f>
        <v>3485.0000000000005</v>
      </c>
      <c r="G14" s="1">
        <v>0.17</v>
      </c>
      <c r="M14" s="4"/>
      <c r="N14">
        <v>4170</v>
      </c>
    </row>
    <row r="15" spans="5:15" x14ac:dyDescent="0.25">
      <c r="E15" t="s">
        <v>0</v>
      </c>
      <c r="F15" s="5">
        <f>G15*(F$9+G37)</f>
        <v>1613.75</v>
      </c>
      <c r="G15" s="2">
        <v>0.05</v>
      </c>
      <c r="H15" t="s">
        <v>38</v>
      </c>
      <c r="N15">
        <v>1350</v>
      </c>
    </row>
    <row r="16" spans="5:15" x14ac:dyDescent="0.25">
      <c r="E16" t="s">
        <v>1</v>
      </c>
      <c r="F16" s="5">
        <f>(F9+G37)*G16</f>
        <v>1613.75</v>
      </c>
      <c r="G16" s="2">
        <v>0.05</v>
      </c>
      <c r="H16" t="s">
        <v>38</v>
      </c>
    </row>
    <row r="17" spans="4:15" x14ac:dyDescent="0.25">
      <c r="E17" t="s">
        <v>2</v>
      </c>
      <c r="F17" s="5">
        <f>(F9+G37)*G17</f>
        <v>2259.25</v>
      </c>
      <c r="G17" s="2">
        <v>7.0000000000000007E-2</v>
      </c>
      <c r="H17" t="s">
        <v>38</v>
      </c>
      <c r="N17">
        <v>960</v>
      </c>
    </row>
    <row r="18" spans="4:15" x14ac:dyDescent="0.25">
      <c r="E18" t="s">
        <v>6</v>
      </c>
      <c r="F18" s="5">
        <f>F3*G18</f>
        <v>7500</v>
      </c>
      <c r="G18" s="41">
        <v>0.3</v>
      </c>
      <c r="N18">
        <v>420</v>
      </c>
    </row>
    <row r="19" spans="4:15" x14ac:dyDescent="0.25">
      <c r="E19" t="s">
        <v>39</v>
      </c>
      <c r="F19" s="5">
        <f>F3*G19</f>
        <v>500</v>
      </c>
      <c r="G19" s="2">
        <v>0.02</v>
      </c>
    </row>
    <row r="20" spans="4:15" ht="15.75" thickBot="1" x14ac:dyDescent="0.3">
      <c r="F20" s="19">
        <f>SUM(F13:F19)</f>
        <v>19188.25</v>
      </c>
      <c r="G20" s="3">
        <f>F20/(F9+F10)</f>
        <v>0.49910911692027571</v>
      </c>
    </row>
    <row r="21" spans="4:15" ht="15.75" thickTop="1" x14ac:dyDescent="0.25">
      <c r="F21" s="5"/>
      <c r="M21" s="5"/>
    </row>
    <row r="22" spans="4:15" ht="15.75" thickBot="1" x14ac:dyDescent="0.3">
      <c r="E22" t="s">
        <v>8</v>
      </c>
      <c r="F22" s="19">
        <f>F9+F10-F20</f>
        <v>19256.75</v>
      </c>
      <c r="G22" s="3">
        <f>F22/F11</f>
        <v>0.50089088307972429</v>
      </c>
    </row>
    <row r="23" spans="4:15" ht="15.75" thickTop="1" x14ac:dyDescent="0.25">
      <c r="G23" s="26" t="s">
        <v>57</v>
      </c>
      <c r="H23" s="26" t="s">
        <v>28</v>
      </c>
    </row>
    <row r="24" spans="4:15" x14ac:dyDescent="0.25">
      <c r="E24" t="s">
        <v>26</v>
      </c>
      <c r="F24" s="4">
        <v>4700</v>
      </c>
      <c r="G24" s="4">
        <v>1645.71</v>
      </c>
      <c r="H24" s="27">
        <v>1</v>
      </c>
      <c r="I24" s="5"/>
      <c r="M24" s="5"/>
    </row>
    <row r="25" spans="4:15" x14ac:dyDescent="0.25">
      <c r="D25" s="6"/>
      <c r="E25" t="s">
        <v>10</v>
      </c>
      <c r="F25" s="4">
        <f>F24/12</f>
        <v>391.66666666666669</v>
      </c>
      <c r="G25" s="4"/>
      <c r="I25" s="5"/>
      <c r="M25" s="5"/>
      <c r="O25" s="4">
        <v>2500000</v>
      </c>
    </row>
    <row r="26" spans="4:15" x14ac:dyDescent="0.25">
      <c r="D26" s="6"/>
      <c r="E26" t="s">
        <v>11</v>
      </c>
      <c r="F26" s="4">
        <f>F24/3/12</f>
        <v>130.55555555555557</v>
      </c>
      <c r="G26" s="4"/>
      <c r="M26" s="5"/>
      <c r="O26">
        <f>O25*5.5%</f>
        <v>137500</v>
      </c>
    </row>
    <row r="27" spans="4:15" x14ac:dyDescent="0.25">
      <c r="E27" t="s">
        <v>31</v>
      </c>
      <c r="F27" s="4">
        <f>(G27*2)/2</f>
        <v>1645.71</v>
      </c>
      <c r="G27" s="4">
        <f>G24</f>
        <v>1645.71</v>
      </c>
      <c r="I27" s="5">
        <f>G24*2.5%</f>
        <v>41.142750000000007</v>
      </c>
      <c r="M27" s="5"/>
      <c r="O27">
        <f>O26*10%</f>
        <v>13750</v>
      </c>
    </row>
    <row r="28" spans="4:15" x14ac:dyDescent="0.25">
      <c r="E28" t="s">
        <v>32</v>
      </c>
      <c r="F28" s="4">
        <f>(G28*2)/2</f>
        <v>440</v>
      </c>
      <c r="G28" s="4">
        <v>440</v>
      </c>
      <c r="M28" s="5"/>
    </row>
    <row r="29" spans="4:15" x14ac:dyDescent="0.25">
      <c r="E29" t="s">
        <v>27</v>
      </c>
      <c r="F29" s="4">
        <f>G29*2</f>
        <v>440</v>
      </c>
      <c r="G29" s="4">
        <v>220</v>
      </c>
      <c r="M29" s="5"/>
    </row>
    <row r="30" spans="4:15" x14ac:dyDescent="0.25">
      <c r="E30" t="s">
        <v>33</v>
      </c>
      <c r="F30" s="4">
        <v>1000</v>
      </c>
      <c r="G30" s="4"/>
      <c r="L30" s="20"/>
      <c r="M30" s="5"/>
    </row>
    <row r="31" spans="4:15" x14ac:dyDescent="0.25">
      <c r="E31" t="s">
        <v>29</v>
      </c>
      <c r="F31" s="4">
        <f>F24*G31</f>
        <v>410.31</v>
      </c>
      <c r="G31" s="22">
        <v>8.7300000000000003E-2</v>
      </c>
      <c r="L31" s="20"/>
    </row>
    <row r="32" spans="4:15" x14ac:dyDescent="0.25">
      <c r="E32" t="s">
        <v>30</v>
      </c>
      <c r="F32" s="4">
        <f>F24*G32</f>
        <v>470</v>
      </c>
      <c r="G32" s="22">
        <v>0.1</v>
      </c>
    </row>
    <row r="33" spans="3:12" x14ac:dyDescent="0.25">
      <c r="E33" t="s">
        <v>9</v>
      </c>
      <c r="F33" s="5">
        <f>(F3+F10)*G33</f>
        <v>2841.2999999999997</v>
      </c>
      <c r="G33" s="2">
        <v>0.09</v>
      </c>
    </row>
    <row r="34" spans="3:12" ht="15.75" thickBot="1" x14ac:dyDescent="0.3">
      <c r="E34" t="s">
        <v>54</v>
      </c>
      <c r="F34" s="7">
        <f>F22-F25-F26-F24-F27-F28-F29-F30-F31-F32-F33</f>
        <v>6787.2077777777795</v>
      </c>
      <c r="L34" s="21"/>
    </row>
    <row r="35" spans="3:12" ht="30.75" thickTop="1" x14ac:dyDescent="0.25">
      <c r="F35" s="4"/>
      <c r="G35" s="33" t="s">
        <v>58</v>
      </c>
    </row>
    <row r="36" spans="3:12" x14ac:dyDescent="0.25">
      <c r="E36" t="s">
        <v>22</v>
      </c>
      <c r="F36" s="27">
        <v>12</v>
      </c>
      <c r="G36" s="31">
        <v>4</v>
      </c>
    </row>
    <row r="37" spans="3:12" ht="15.75" thickBot="1" x14ac:dyDescent="0.3">
      <c r="E37" t="s">
        <v>24</v>
      </c>
      <c r="F37" s="4">
        <f>100*F36</f>
        <v>1200</v>
      </c>
      <c r="G37" s="32">
        <f>G36*100</f>
        <v>400</v>
      </c>
    </row>
    <row r="38" spans="3:12" ht="15.75" thickBot="1" x14ac:dyDescent="0.3">
      <c r="I38" s="28" t="s">
        <v>44</v>
      </c>
      <c r="J38" s="28" t="s">
        <v>45</v>
      </c>
      <c r="K38" s="28" t="s">
        <v>46</v>
      </c>
    </row>
    <row r="39" spans="3:12" ht="15.75" thickBot="1" x14ac:dyDescent="0.3">
      <c r="C39" s="29"/>
      <c r="E39" s="8" t="s">
        <v>12</v>
      </c>
      <c r="F39" s="9">
        <v>32</v>
      </c>
      <c r="G39" s="34">
        <v>39</v>
      </c>
      <c r="H39" s="18" t="s">
        <v>13</v>
      </c>
      <c r="I39" s="10">
        <v>0</v>
      </c>
      <c r="J39" s="10">
        <f>5*50</f>
        <v>250</v>
      </c>
      <c r="K39" s="11">
        <f>I39-J39</f>
        <v>-250</v>
      </c>
    </row>
    <row r="40" spans="3:12" x14ac:dyDescent="0.25">
      <c r="E40" t="s">
        <v>47</v>
      </c>
      <c r="F40" s="4">
        <f>IF(F39&lt;6,I39,IF(F39&lt;11,I40,IF(F39&lt;16,I41,IF(F39&lt;21,I42,IF(F39&lt;31,I43,IF(F39&lt;41,I44,IF(F39=41,I45,2050+(50*(F39-41)))))))))</f>
        <v>3000</v>
      </c>
      <c r="H40" s="12" t="s">
        <v>14</v>
      </c>
      <c r="I40" s="13">
        <v>1000</v>
      </c>
      <c r="J40" s="13">
        <f>10*50</f>
        <v>500</v>
      </c>
      <c r="K40" s="14">
        <f t="shared" ref="K40:K45" si="1">I40-J40</f>
        <v>500</v>
      </c>
    </row>
    <row r="41" spans="3:12" x14ac:dyDescent="0.25">
      <c r="E41" t="s">
        <v>48</v>
      </c>
      <c r="F41" s="4">
        <v>1300</v>
      </c>
      <c r="H41" s="12" t="s">
        <v>15</v>
      </c>
      <c r="I41" s="13">
        <v>1500</v>
      </c>
      <c r="J41" s="13">
        <f>15*50</f>
        <v>750</v>
      </c>
      <c r="K41" s="14">
        <f t="shared" si="1"/>
        <v>750</v>
      </c>
    </row>
    <row r="42" spans="3:12" x14ac:dyDescent="0.25">
      <c r="H42" s="12" t="s">
        <v>16</v>
      </c>
      <c r="I42" s="13">
        <v>2000</v>
      </c>
      <c r="J42" s="13">
        <f>20*50</f>
        <v>1000</v>
      </c>
      <c r="K42" s="14">
        <f t="shared" si="1"/>
        <v>1000</v>
      </c>
    </row>
    <row r="43" spans="3:12" x14ac:dyDescent="0.25">
      <c r="E43" t="s">
        <v>23</v>
      </c>
      <c r="H43" s="12" t="s">
        <v>17</v>
      </c>
      <c r="I43" s="13">
        <v>2500</v>
      </c>
      <c r="J43" s="13">
        <f>30*50</f>
        <v>1500</v>
      </c>
      <c r="K43" s="14">
        <f t="shared" si="1"/>
        <v>1000</v>
      </c>
    </row>
    <row r="44" spans="3:12" x14ac:dyDescent="0.25">
      <c r="E44" t="s">
        <v>25</v>
      </c>
      <c r="F44" s="4">
        <v>200</v>
      </c>
      <c r="H44" s="12" t="s">
        <v>18</v>
      </c>
      <c r="I44" s="13">
        <v>3000</v>
      </c>
      <c r="J44" s="13">
        <f>40*50</f>
        <v>2000</v>
      </c>
      <c r="K44" s="14">
        <f t="shared" si="1"/>
        <v>1000</v>
      </c>
    </row>
    <row r="45" spans="3:12" x14ac:dyDescent="0.25">
      <c r="H45" s="12" t="s">
        <v>19</v>
      </c>
      <c r="I45" s="13">
        <v>4100</v>
      </c>
      <c r="J45" s="13">
        <f>41*50</f>
        <v>2050</v>
      </c>
      <c r="K45" s="14">
        <f t="shared" si="1"/>
        <v>2050</v>
      </c>
    </row>
    <row r="46" spans="3:12" ht="15.75" thickBot="1" x14ac:dyDescent="0.3">
      <c r="H46" s="15"/>
      <c r="I46" s="16" t="s">
        <v>20</v>
      </c>
      <c r="J46" s="16" t="s">
        <v>21</v>
      </c>
      <c r="K46" s="17"/>
    </row>
    <row r="48" spans="3:12" x14ac:dyDescent="0.25">
      <c r="E48" t="s">
        <v>37</v>
      </c>
      <c r="F48" s="4">
        <v>1259.26</v>
      </c>
    </row>
    <row r="49" spans="5:6" x14ac:dyDescent="0.25">
      <c r="E49" t="s">
        <v>51</v>
      </c>
      <c r="F49" s="4">
        <v>293.38</v>
      </c>
    </row>
    <row r="50" spans="5:6" x14ac:dyDescent="0.25">
      <c r="E50" t="s">
        <v>52</v>
      </c>
      <c r="F50" s="4">
        <v>1370</v>
      </c>
    </row>
    <row r="51" spans="5:6" x14ac:dyDescent="0.25">
      <c r="E51" t="s">
        <v>53</v>
      </c>
      <c r="F51" s="4">
        <v>140</v>
      </c>
    </row>
    <row r="52" spans="5:6" ht="15.75" thickBot="1" x14ac:dyDescent="0.3">
      <c r="E52" t="s">
        <v>35</v>
      </c>
      <c r="F52" s="19">
        <f>F34+F37+F40-F41-F44-SUM(F48:F51)</f>
        <v>6424.5677777777801</v>
      </c>
    </row>
    <row r="53" spans="5:6" ht="15.75" thickTop="1" x14ac:dyDescent="0.25"/>
    <row r="54" spans="5:6" x14ac:dyDescent="0.25">
      <c r="E54" t="s">
        <v>34</v>
      </c>
    </row>
    <row r="56" spans="5:6" ht="15.75" thickBot="1" x14ac:dyDescent="0.3">
      <c r="E56" t="s">
        <v>36</v>
      </c>
      <c r="F56" s="19">
        <f>F52-F54</f>
        <v>6424.5677777777801</v>
      </c>
    </row>
    <row r="57" spans="5:6" ht="15.75" thickTop="1" x14ac:dyDescent="0.25"/>
    <row r="58" spans="5:6" x14ac:dyDescent="0.25">
      <c r="E58" t="s">
        <v>55</v>
      </c>
      <c r="F58" s="5">
        <f>O7</f>
        <v>-17925</v>
      </c>
    </row>
    <row r="59" spans="5:6" ht="15.75" thickBot="1" x14ac:dyDescent="0.3"/>
    <row r="60" spans="5:6" ht="15.75" thickBot="1" x14ac:dyDescent="0.3">
      <c r="E60" t="s">
        <v>56</v>
      </c>
      <c r="F60" s="24">
        <f>F56+F58</f>
        <v>-11500.43222222222</v>
      </c>
    </row>
  </sheetData>
  <conditionalFormatting sqref="F60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BC5E-EB75-40BA-8377-ACC25C2159D9}">
  <dimension ref="C1:O57"/>
  <sheetViews>
    <sheetView topLeftCell="C1" workbookViewId="0">
      <selection activeCell="F34" sqref="F34"/>
    </sheetView>
  </sheetViews>
  <sheetFormatPr defaultRowHeight="15" x14ac:dyDescent="0.25"/>
  <cols>
    <col min="4" max="4" width="4.140625" customWidth="1"/>
    <col min="5" max="5" width="36.140625" bestFit="1" customWidth="1"/>
    <col min="6" max="6" width="15.28515625" bestFit="1" customWidth="1"/>
    <col min="7" max="7" width="9.5703125" bestFit="1" customWidth="1"/>
    <col min="9" max="9" width="9.5703125" bestFit="1" customWidth="1"/>
    <col min="13" max="13" width="10.5703125" style="4" bestFit="1" customWidth="1"/>
    <col min="14" max="15" width="9.5703125" bestFit="1" customWidth="1"/>
  </cols>
  <sheetData>
    <row r="1" spans="5:15" x14ac:dyDescent="0.25">
      <c r="E1" t="s">
        <v>7</v>
      </c>
    </row>
    <row r="2" spans="5:15" ht="15.75" thickBot="1" x14ac:dyDescent="0.3">
      <c r="M2" s="42" t="s">
        <v>42</v>
      </c>
      <c r="N2" s="43" t="s">
        <v>68</v>
      </c>
      <c r="O2" s="43" t="s">
        <v>69</v>
      </c>
    </row>
    <row r="3" spans="5:15" ht="15.75" thickBot="1" x14ac:dyDescent="0.3">
      <c r="E3" t="s">
        <v>3</v>
      </c>
      <c r="F3" s="25">
        <v>15000</v>
      </c>
      <c r="G3" s="1">
        <v>1</v>
      </c>
      <c r="M3" s="44">
        <v>5213.0600000000004</v>
      </c>
      <c r="N3" s="45">
        <v>0</v>
      </c>
      <c r="O3" s="45">
        <v>-173.96293558278421</v>
      </c>
    </row>
    <row r="4" spans="5:15" ht="15.75" thickBot="1" x14ac:dyDescent="0.3">
      <c r="E4" t="s">
        <v>59</v>
      </c>
      <c r="F4" s="25">
        <v>0</v>
      </c>
      <c r="G4" s="1"/>
      <c r="M4" s="44">
        <v>10000</v>
      </c>
      <c r="N4" s="45">
        <v>3027.7393131111107</v>
      </c>
      <c r="O4" s="45">
        <v>2566.56</v>
      </c>
    </row>
    <row r="5" spans="5:15" ht="15.75" thickBot="1" x14ac:dyDescent="0.3">
      <c r="E5" t="s">
        <v>60</v>
      </c>
      <c r="F5" s="25">
        <v>0</v>
      </c>
      <c r="G5" s="1"/>
      <c r="M5" s="44">
        <v>15000</v>
      </c>
      <c r="N5" s="45">
        <v>6190.2393131111094</v>
      </c>
      <c r="O5" s="45">
        <v>5429.0599999999995</v>
      </c>
    </row>
    <row r="6" spans="5:15" x14ac:dyDescent="0.25">
      <c r="E6" t="s">
        <v>4</v>
      </c>
      <c r="F6" s="5">
        <f>G6*F$3</f>
        <v>5250</v>
      </c>
      <c r="G6" s="1">
        <f>35%*100%</f>
        <v>0.35</v>
      </c>
      <c r="M6" s="44">
        <v>18000</v>
      </c>
      <c r="N6" s="45">
        <v>8087.7393131111094</v>
      </c>
      <c r="O6" s="45">
        <v>7146.5599999999995</v>
      </c>
    </row>
    <row r="7" spans="5:15" x14ac:dyDescent="0.25">
      <c r="E7" t="s">
        <v>5</v>
      </c>
      <c r="F7" s="5">
        <f>G7*F$3</f>
        <v>10500</v>
      </c>
      <c r="G7" s="1">
        <f>70%*G3</f>
        <v>0.7</v>
      </c>
      <c r="M7" s="44">
        <v>20000</v>
      </c>
      <c r="N7" s="45">
        <v>9352.7393131111094</v>
      </c>
      <c r="O7" s="45">
        <v>8291.56</v>
      </c>
    </row>
    <row r="8" spans="5:15" x14ac:dyDescent="0.25">
      <c r="E8" t="s">
        <v>65</v>
      </c>
      <c r="F8" s="23">
        <v>0</v>
      </c>
      <c r="G8" s="39">
        <f>F8/F3</f>
        <v>0</v>
      </c>
      <c r="N8" s="5"/>
      <c r="O8" s="5"/>
    </row>
    <row r="9" spans="5:15" ht="15.75" thickBot="1" x14ac:dyDescent="0.3">
      <c r="F9" s="19">
        <f>SUM(F6:F8)</f>
        <v>15750</v>
      </c>
      <c r="G9" s="35">
        <f>SUM(G6:G8)</f>
        <v>1.0499999999999998</v>
      </c>
      <c r="H9" s="36"/>
      <c r="N9" s="5"/>
      <c r="O9" s="5"/>
    </row>
    <row r="10" spans="5:15" ht="15.75" thickTop="1" x14ac:dyDescent="0.25">
      <c r="E10" t="s">
        <v>66</v>
      </c>
      <c r="F10" s="23">
        <v>0</v>
      </c>
      <c r="G10" s="39"/>
      <c r="N10" s="5"/>
      <c r="O10" s="5"/>
    </row>
    <row r="11" spans="5:15" ht="15.75" thickBot="1" x14ac:dyDescent="0.3">
      <c r="E11" t="s">
        <v>67</v>
      </c>
      <c r="F11" s="19">
        <f>F9+F10</f>
        <v>15750</v>
      </c>
      <c r="G11" s="1"/>
      <c r="N11" s="5"/>
      <c r="O11" s="5"/>
    </row>
    <row r="12" spans="5:15" ht="15.75" thickTop="1" x14ac:dyDescent="0.25">
      <c r="F12" s="5"/>
      <c r="G12" s="1"/>
      <c r="N12" s="5"/>
      <c r="O12" s="5"/>
    </row>
    <row r="13" spans="5:15" x14ac:dyDescent="0.25">
      <c r="E13" t="s">
        <v>61</v>
      </c>
      <c r="F13" s="5">
        <f>F4*G13</f>
        <v>0</v>
      </c>
      <c r="G13" s="37">
        <v>0.11</v>
      </c>
      <c r="N13" s="5"/>
      <c r="O13" s="5"/>
    </row>
    <row r="14" spans="5:15" x14ac:dyDescent="0.25">
      <c r="E14" t="s">
        <v>62</v>
      </c>
      <c r="F14" s="5">
        <f>F5*G14</f>
        <v>0</v>
      </c>
      <c r="G14" s="1">
        <v>0.17</v>
      </c>
      <c r="N14" s="5"/>
      <c r="O14" s="5"/>
    </row>
    <row r="15" spans="5:15" x14ac:dyDescent="0.25">
      <c r="E15" t="s">
        <v>0</v>
      </c>
      <c r="F15" s="5">
        <f>G15*(F$9+G37)</f>
        <v>807.5</v>
      </c>
      <c r="G15" s="2">
        <v>0.05</v>
      </c>
      <c r="H15" t="s">
        <v>38</v>
      </c>
      <c r="N15" s="5"/>
      <c r="O15" s="5"/>
    </row>
    <row r="16" spans="5:15" x14ac:dyDescent="0.25">
      <c r="E16" t="s">
        <v>1</v>
      </c>
      <c r="F16" s="5">
        <f>(F9+G37)*G16</f>
        <v>807.5</v>
      </c>
      <c r="G16" s="2">
        <v>0.05</v>
      </c>
      <c r="H16" t="s">
        <v>38</v>
      </c>
      <c r="N16" s="5"/>
      <c r="O16" s="5"/>
    </row>
    <row r="17" spans="4:15" x14ac:dyDescent="0.25">
      <c r="E17" t="s">
        <v>2</v>
      </c>
      <c r="F17" s="5">
        <f>(F9+G37)*G17</f>
        <v>807.5</v>
      </c>
      <c r="G17" s="2">
        <v>0.05</v>
      </c>
      <c r="H17" t="s">
        <v>38</v>
      </c>
      <c r="N17" s="5"/>
      <c r="O17" s="5"/>
    </row>
    <row r="18" spans="4:15" x14ac:dyDescent="0.25">
      <c r="E18" t="s">
        <v>6</v>
      </c>
      <c r="F18" s="5">
        <f>F3*G18</f>
        <v>1650</v>
      </c>
      <c r="G18" s="41">
        <v>0.11</v>
      </c>
    </row>
    <row r="19" spans="4:15" x14ac:dyDescent="0.25">
      <c r="E19" t="s">
        <v>39</v>
      </c>
      <c r="F19" s="5">
        <f>F3*G19</f>
        <v>300</v>
      </c>
      <c r="G19" s="2">
        <v>0.02</v>
      </c>
    </row>
    <row r="20" spans="4:15" ht="15.75" thickBot="1" x14ac:dyDescent="0.3">
      <c r="F20" s="19">
        <f>SUM(F13:F19)</f>
        <v>4372.5</v>
      </c>
      <c r="G20" s="3">
        <f>F20/(F9+F10)</f>
        <v>0.2776190476190476</v>
      </c>
    </row>
    <row r="21" spans="4:15" ht="15.75" thickTop="1" x14ac:dyDescent="0.25">
      <c r="F21" s="5"/>
    </row>
    <row r="22" spans="4:15" ht="15.75" thickBot="1" x14ac:dyDescent="0.3">
      <c r="E22" t="s">
        <v>8</v>
      </c>
      <c r="F22" s="19">
        <f>F9+F10-F20</f>
        <v>11377.5</v>
      </c>
      <c r="G22" s="3">
        <f>F22/F11</f>
        <v>0.72238095238095235</v>
      </c>
    </row>
    <row r="23" spans="4:15" ht="15.75" thickTop="1" x14ac:dyDescent="0.25">
      <c r="G23" s="26" t="s">
        <v>57</v>
      </c>
      <c r="H23" s="26" t="s">
        <v>28</v>
      </c>
    </row>
    <row r="24" spans="4:15" x14ac:dyDescent="0.25">
      <c r="E24" t="s">
        <v>26</v>
      </c>
      <c r="F24" s="4">
        <f>G24*H24</f>
        <v>1647.26</v>
      </c>
      <c r="G24" s="4">
        <v>1647.26</v>
      </c>
      <c r="H24" s="27">
        <v>1</v>
      </c>
      <c r="I24" s="5"/>
    </row>
    <row r="25" spans="4:15" x14ac:dyDescent="0.25">
      <c r="D25" s="6"/>
      <c r="E25" t="s">
        <v>10</v>
      </c>
      <c r="F25" s="4">
        <f>F24/12</f>
        <v>137.27166666666668</v>
      </c>
      <c r="G25" s="4"/>
      <c r="I25" s="5"/>
    </row>
    <row r="26" spans="4:15" x14ac:dyDescent="0.25">
      <c r="D26" s="6"/>
      <c r="E26" t="s">
        <v>11</v>
      </c>
      <c r="F26" s="4">
        <f>F24/3/12</f>
        <v>45.757222222222225</v>
      </c>
      <c r="G26" s="4"/>
    </row>
    <row r="27" spans="4:15" x14ac:dyDescent="0.25">
      <c r="E27" t="s">
        <v>31</v>
      </c>
      <c r="F27" s="4"/>
      <c r="G27" s="4"/>
    </row>
    <row r="28" spans="4:15" x14ac:dyDescent="0.25">
      <c r="E28" t="s">
        <v>32</v>
      </c>
      <c r="F28" s="4"/>
      <c r="G28" s="4"/>
    </row>
    <row r="29" spans="4:15" x14ac:dyDescent="0.25">
      <c r="E29" t="s">
        <v>27</v>
      </c>
      <c r="F29" s="4"/>
      <c r="G29" s="4"/>
    </row>
    <row r="30" spans="4:15" x14ac:dyDescent="0.25">
      <c r="E30" t="s">
        <v>33</v>
      </c>
      <c r="F30" s="4"/>
      <c r="G30" s="4"/>
    </row>
    <row r="31" spans="4:15" x14ac:dyDescent="0.25">
      <c r="E31" t="s">
        <v>29</v>
      </c>
      <c r="F31" s="4">
        <f>F24*G31</f>
        <v>143.80579800000001</v>
      </c>
      <c r="G31" s="22">
        <v>8.7300000000000003E-2</v>
      </c>
    </row>
    <row r="32" spans="4:15" x14ac:dyDescent="0.25">
      <c r="E32" t="s">
        <v>30</v>
      </c>
      <c r="F32" s="4">
        <f>F24*G32</f>
        <v>164.726</v>
      </c>
      <c r="G32" s="22">
        <v>0.1</v>
      </c>
    </row>
    <row r="33" spans="3:9" x14ac:dyDescent="0.25">
      <c r="E33" t="s">
        <v>9</v>
      </c>
      <c r="F33" s="5">
        <f>F11*G33</f>
        <v>2047.5</v>
      </c>
      <c r="G33" s="2">
        <v>0.13</v>
      </c>
    </row>
    <row r="34" spans="3:9" ht="15.75" thickBot="1" x14ac:dyDescent="0.3">
      <c r="E34" t="s">
        <v>54</v>
      </c>
      <c r="F34" s="7">
        <f>F22-F25-F26-F24-F27-F28-F29-F30-F31-F32-F33</f>
        <v>7191.1793131111099</v>
      </c>
    </row>
    <row r="35" spans="3:9" ht="30.75" hidden="1" thickTop="1" x14ac:dyDescent="0.25">
      <c r="F35" s="4"/>
      <c r="G35" s="33" t="s">
        <v>58</v>
      </c>
    </row>
    <row r="36" spans="3:9" ht="15.75" hidden="1" thickTop="1" x14ac:dyDescent="0.25">
      <c r="E36" t="s">
        <v>22</v>
      </c>
      <c r="F36" s="27">
        <v>0</v>
      </c>
      <c r="G36" s="31">
        <v>4</v>
      </c>
    </row>
    <row r="37" spans="3:9" ht="15.75" hidden="1" thickTop="1" x14ac:dyDescent="0.25">
      <c r="E37" t="s">
        <v>24</v>
      </c>
      <c r="F37" s="4">
        <f>100*F36</f>
        <v>0</v>
      </c>
      <c r="G37" s="32">
        <f>G36*100</f>
        <v>400</v>
      </c>
    </row>
    <row r="38" spans="3:9" ht="16.5" hidden="1" thickTop="1" thickBot="1" x14ac:dyDescent="0.3">
      <c r="I38" s="28" t="s">
        <v>44</v>
      </c>
    </row>
    <row r="39" spans="3:9" ht="16.5" hidden="1" thickTop="1" thickBot="1" x14ac:dyDescent="0.3">
      <c r="C39" s="29"/>
      <c r="E39" s="8" t="s">
        <v>12</v>
      </c>
      <c r="F39" s="9">
        <v>0</v>
      </c>
      <c r="G39" s="34">
        <v>39</v>
      </c>
      <c r="H39" s="18" t="s">
        <v>13</v>
      </c>
      <c r="I39" s="10">
        <v>0</v>
      </c>
    </row>
    <row r="40" spans="3:9" ht="15.75" hidden="1" thickTop="1" x14ac:dyDescent="0.25">
      <c r="E40" t="s">
        <v>47</v>
      </c>
      <c r="F40" s="4">
        <f>IF(F39&lt;6,I39,IF(F39&lt;11,I40,IF(F39&lt;16,I41,IF(F39&lt;21,I42,IF(F39&lt;31,I43,IF(F39&lt;41,I44,IF(F39=41,I45,2050+(50*(F39-41)))))))))</f>
        <v>0</v>
      </c>
      <c r="H40" s="12" t="s">
        <v>14</v>
      </c>
      <c r="I40" s="13">
        <v>1000</v>
      </c>
    </row>
    <row r="41" spans="3:9" ht="15.75" hidden="1" thickTop="1" x14ac:dyDescent="0.25">
      <c r="E41" t="s">
        <v>48</v>
      </c>
      <c r="F41" s="4">
        <v>0</v>
      </c>
      <c r="H41" s="12" t="s">
        <v>15</v>
      </c>
      <c r="I41" s="13">
        <v>1500</v>
      </c>
    </row>
    <row r="42" spans="3:9" ht="15.75" hidden="1" thickTop="1" x14ac:dyDescent="0.25">
      <c r="H42" s="12" t="s">
        <v>16</v>
      </c>
      <c r="I42" s="13">
        <v>2000</v>
      </c>
    </row>
    <row r="43" spans="3:9" ht="15.75" hidden="1" thickTop="1" x14ac:dyDescent="0.25">
      <c r="E43" t="s">
        <v>23</v>
      </c>
      <c r="H43" s="12" t="s">
        <v>17</v>
      </c>
      <c r="I43" s="13">
        <v>2500</v>
      </c>
    </row>
    <row r="44" spans="3:9" ht="15.75" hidden="1" thickTop="1" x14ac:dyDescent="0.25">
      <c r="E44" t="s">
        <v>25</v>
      </c>
      <c r="F44" s="4">
        <v>0</v>
      </c>
      <c r="H44" s="12" t="s">
        <v>18</v>
      </c>
      <c r="I44" s="13">
        <v>3000</v>
      </c>
    </row>
    <row r="45" spans="3:9" ht="15.75" hidden="1" thickTop="1" x14ac:dyDescent="0.25">
      <c r="H45" s="12" t="s">
        <v>19</v>
      </c>
      <c r="I45" s="13">
        <v>4100</v>
      </c>
    </row>
    <row r="46" spans="3:9" ht="16.5" hidden="1" thickTop="1" thickBot="1" x14ac:dyDescent="0.3">
      <c r="H46" s="15"/>
      <c r="I46" s="16" t="s">
        <v>20</v>
      </c>
    </row>
    <row r="47" spans="3:9" ht="15.75" thickTop="1" x14ac:dyDescent="0.25"/>
    <row r="48" spans="3:9" x14ac:dyDescent="0.25">
      <c r="E48" t="s">
        <v>37</v>
      </c>
      <c r="F48" s="4">
        <f>2415.18/3</f>
        <v>805.06</v>
      </c>
    </row>
    <row r="49" spans="5:6" x14ac:dyDescent="0.25">
      <c r="E49" t="s">
        <v>51</v>
      </c>
      <c r="F49" s="4">
        <f>293.38</f>
        <v>293.38</v>
      </c>
    </row>
    <row r="50" spans="5:6" x14ac:dyDescent="0.25">
      <c r="E50" t="s">
        <v>52</v>
      </c>
      <c r="F50" s="4"/>
    </row>
    <row r="51" spans="5:6" x14ac:dyDescent="0.25">
      <c r="E51" t="s">
        <v>53</v>
      </c>
      <c r="F51" s="4"/>
    </row>
    <row r="52" spans="5:6" ht="15.75" thickBot="1" x14ac:dyDescent="0.3">
      <c r="E52" t="s">
        <v>35</v>
      </c>
      <c r="F52" s="19">
        <f>F34+F37+F40-F41-F44-SUM(F48:F51)</f>
        <v>6092.7393131111094</v>
      </c>
    </row>
    <row r="53" spans="5:6" ht="15.75" thickTop="1" x14ac:dyDescent="0.25"/>
    <row r="54" spans="5:6" x14ac:dyDescent="0.25">
      <c r="E54" t="s">
        <v>34</v>
      </c>
    </row>
    <row r="56" spans="5:6" ht="15.75" thickBot="1" x14ac:dyDescent="0.3">
      <c r="E56" t="s">
        <v>36</v>
      </c>
      <c r="F56" s="19">
        <f>F52-F54</f>
        <v>6092.7393131111094</v>
      </c>
    </row>
    <row r="57" spans="5:6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5876-1199-4A90-9CE6-E29F7F3E76DE}">
  <dimension ref="C1:I57"/>
  <sheetViews>
    <sheetView topLeftCell="C1" workbookViewId="0">
      <selection activeCell="F34" sqref="F34"/>
    </sheetView>
  </sheetViews>
  <sheetFormatPr defaultRowHeight="15" x14ac:dyDescent="0.25"/>
  <cols>
    <col min="4" max="4" width="4.140625" customWidth="1"/>
    <col min="5" max="5" width="36.140625" bestFit="1" customWidth="1"/>
    <col min="6" max="6" width="15.28515625" bestFit="1" customWidth="1"/>
    <col min="7" max="7" width="9.5703125" bestFit="1" customWidth="1"/>
    <col min="9" max="9" width="9.5703125" bestFit="1" customWidth="1"/>
  </cols>
  <sheetData>
    <row r="1" spans="5:8" x14ac:dyDescent="0.25">
      <c r="E1" t="s">
        <v>7</v>
      </c>
    </row>
    <row r="2" spans="5:8" ht="15.75" thickBot="1" x14ac:dyDescent="0.3"/>
    <row r="3" spans="5:8" ht="15.75" thickBot="1" x14ac:dyDescent="0.3">
      <c r="E3" t="s">
        <v>3</v>
      </c>
      <c r="F3" s="25">
        <f>'Consultor CLT'!F3</f>
        <v>15000</v>
      </c>
      <c r="G3" s="1">
        <v>1</v>
      </c>
    </row>
    <row r="4" spans="5:8" ht="15.75" thickBot="1" x14ac:dyDescent="0.3">
      <c r="E4" t="s">
        <v>59</v>
      </c>
      <c r="F4" s="25">
        <v>0</v>
      </c>
      <c r="G4" s="1"/>
    </row>
    <row r="5" spans="5:8" ht="15.75" thickBot="1" x14ac:dyDescent="0.3">
      <c r="E5" t="s">
        <v>60</v>
      </c>
      <c r="F5" s="25">
        <v>0</v>
      </c>
      <c r="G5" s="1"/>
    </row>
    <row r="6" spans="5:8" x14ac:dyDescent="0.25">
      <c r="E6" t="s">
        <v>4</v>
      </c>
      <c r="F6" s="5">
        <f>G6*F$3</f>
        <v>5250</v>
      </c>
      <c r="G6" s="1">
        <f>35%*100%</f>
        <v>0.35</v>
      </c>
    </row>
    <row r="7" spans="5:8" x14ac:dyDescent="0.25">
      <c r="E7" t="s">
        <v>5</v>
      </c>
      <c r="F7" s="5">
        <f>G7*F$3</f>
        <v>10500</v>
      </c>
      <c r="G7" s="1">
        <f>70%*G3</f>
        <v>0.7</v>
      </c>
    </row>
    <row r="8" spans="5:8" x14ac:dyDescent="0.25">
      <c r="E8" t="s">
        <v>65</v>
      </c>
      <c r="F8" s="23">
        <v>0</v>
      </c>
      <c r="G8" s="39">
        <f>F8/F3</f>
        <v>0</v>
      </c>
    </row>
    <row r="9" spans="5:8" ht="15.75" thickBot="1" x14ac:dyDescent="0.3">
      <c r="F9" s="19">
        <f>SUM(F6:F8)</f>
        <v>15750</v>
      </c>
      <c r="G9" s="35">
        <f>SUM(G6:G8)</f>
        <v>1.0499999999999998</v>
      </c>
      <c r="H9" s="36"/>
    </row>
    <row r="10" spans="5:8" ht="15.75" thickTop="1" x14ac:dyDescent="0.25">
      <c r="E10" t="s">
        <v>66</v>
      </c>
      <c r="F10" s="23">
        <v>0</v>
      </c>
      <c r="G10" s="39"/>
    </row>
    <row r="11" spans="5:8" ht="15.75" thickBot="1" x14ac:dyDescent="0.3">
      <c r="E11" t="s">
        <v>67</v>
      </c>
      <c r="F11" s="19">
        <f>F9+F10</f>
        <v>15750</v>
      </c>
      <c r="G11" s="1"/>
    </row>
    <row r="12" spans="5:8" ht="15.75" thickTop="1" x14ac:dyDescent="0.25">
      <c r="F12" s="5"/>
      <c r="G12" s="1"/>
    </row>
    <row r="13" spans="5:8" x14ac:dyDescent="0.25">
      <c r="E13" t="s">
        <v>61</v>
      </c>
      <c r="F13" s="5">
        <f>F4*G13</f>
        <v>0</v>
      </c>
      <c r="G13" s="37">
        <v>0.11</v>
      </c>
    </row>
    <row r="14" spans="5:8" x14ac:dyDescent="0.25">
      <c r="E14" t="s">
        <v>62</v>
      </c>
      <c r="F14" s="5">
        <f>F5*G14</f>
        <v>0</v>
      </c>
      <c r="G14" s="1">
        <v>0.17</v>
      </c>
    </row>
    <row r="15" spans="5:8" x14ac:dyDescent="0.25">
      <c r="E15" t="s">
        <v>0</v>
      </c>
      <c r="F15" s="5">
        <f>G15*(F$9+G37)</f>
        <v>807.5</v>
      </c>
      <c r="G15" s="2">
        <v>0.05</v>
      </c>
      <c r="H15" t="s">
        <v>38</v>
      </c>
    </row>
    <row r="16" spans="5:8" x14ac:dyDescent="0.25">
      <c r="E16" t="s">
        <v>1</v>
      </c>
      <c r="F16" s="5">
        <f>(F9+G37)*G16</f>
        <v>807.5</v>
      </c>
      <c r="G16" s="2">
        <v>0.05</v>
      </c>
      <c r="H16" t="s">
        <v>38</v>
      </c>
    </row>
    <row r="17" spans="4:9" x14ac:dyDescent="0.25">
      <c r="E17" t="s">
        <v>2</v>
      </c>
      <c r="F17" s="5">
        <f>(F9+G37)*G17</f>
        <v>807.5</v>
      </c>
      <c r="G17" s="2">
        <v>0.05</v>
      </c>
      <c r="H17" t="s">
        <v>38</v>
      </c>
    </row>
    <row r="18" spans="4:9" x14ac:dyDescent="0.25">
      <c r="E18" t="s">
        <v>6</v>
      </c>
      <c r="F18" s="5">
        <f>F3*G18</f>
        <v>3150</v>
      </c>
      <c r="G18" s="41">
        <v>0.21</v>
      </c>
    </row>
    <row r="19" spans="4:9" x14ac:dyDescent="0.25">
      <c r="E19" t="s">
        <v>39</v>
      </c>
      <c r="F19" s="5">
        <f>F3*G19</f>
        <v>300</v>
      </c>
      <c r="G19" s="2">
        <v>0.02</v>
      </c>
    </row>
    <row r="20" spans="4:9" ht="15.75" thickBot="1" x14ac:dyDescent="0.3">
      <c r="F20" s="19">
        <f>SUM(F13:F19)</f>
        <v>5872.5</v>
      </c>
      <c r="G20" s="3">
        <f>F20/(F9+F10)</f>
        <v>0.37285714285714283</v>
      </c>
    </row>
    <row r="21" spans="4:9" ht="15.75" thickTop="1" x14ac:dyDescent="0.25">
      <c r="F21" s="5"/>
    </row>
    <row r="22" spans="4:9" ht="15.75" thickBot="1" x14ac:dyDescent="0.3">
      <c r="E22" t="s">
        <v>8</v>
      </c>
      <c r="F22" s="19">
        <f>F9+F10-F20</f>
        <v>9877.5</v>
      </c>
      <c r="G22" s="3">
        <f>F22/F11</f>
        <v>0.62714285714285711</v>
      </c>
    </row>
    <row r="23" spans="4:9" ht="15.75" thickTop="1" x14ac:dyDescent="0.25">
      <c r="G23" s="26" t="s">
        <v>57</v>
      </c>
      <c r="H23" s="26" t="s">
        <v>28</v>
      </c>
    </row>
    <row r="24" spans="4:9" x14ac:dyDescent="0.25">
      <c r="E24" t="s">
        <v>26</v>
      </c>
      <c r="F24" s="4">
        <f>G24*H24</f>
        <v>2000</v>
      </c>
      <c r="G24" s="4">
        <v>2000</v>
      </c>
      <c r="H24" s="27">
        <v>1</v>
      </c>
      <c r="I24" s="5"/>
    </row>
    <row r="25" spans="4:9" x14ac:dyDescent="0.25">
      <c r="D25" s="6"/>
      <c r="E25" t="s">
        <v>10</v>
      </c>
      <c r="F25" s="4"/>
      <c r="G25" s="4"/>
      <c r="I25" s="5"/>
    </row>
    <row r="26" spans="4:9" x14ac:dyDescent="0.25">
      <c r="D26" s="6"/>
      <c r="E26" t="s">
        <v>11</v>
      </c>
      <c r="F26" s="4"/>
      <c r="G26" s="4"/>
    </row>
    <row r="27" spans="4:9" x14ac:dyDescent="0.25">
      <c r="E27" t="s">
        <v>31</v>
      </c>
      <c r="F27" s="4"/>
      <c r="G27" s="4"/>
    </row>
    <row r="28" spans="4:9" x14ac:dyDescent="0.25">
      <c r="E28" t="s">
        <v>32</v>
      </c>
      <c r="F28" s="4"/>
      <c r="G28" s="4"/>
    </row>
    <row r="29" spans="4:9" x14ac:dyDescent="0.25">
      <c r="E29" t="s">
        <v>27</v>
      </c>
      <c r="F29" s="4"/>
      <c r="G29" s="4"/>
    </row>
    <row r="30" spans="4:9" x14ac:dyDescent="0.25">
      <c r="E30" t="s">
        <v>33</v>
      </c>
      <c r="F30" s="4"/>
      <c r="G30" s="4"/>
    </row>
    <row r="31" spans="4:9" x14ac:dyDescent="0.25">
      <c r="E31" t="s">
        <v>29</v>
      </c>
      <c r="F31" s="4">
        <f>F24*G31</f>
        <v>0</v>
      </c>
      <c r="G31" s="22">
        <v>0</v>
      </c>
    </row>
    <row r="32" spans="4:9" x14ac:dyDescent="0.25">
      <c r="E32" t="s">
        <v>30</v>
      </c>
      <c r="F32" s="4">
        <f>F24*G32</f>
        <v>0</v>
      </c>
      <c r="G32" s="22">
        <v>0</v>
      </c>
    </row>
    <row r="33" spans="3:9" x14ac:dyDescent="0.25">
      <c r="E33" t="s">
        <v>9</v>
      </c>
      <c r="F33" s="5">
        <f>F11*G33</f>
        <v>2047.5</v>
      </c>
      <c r="G33" s="2">
        <v>0.13</v>
      </c>
    </row>
    <row r="34" spans="3:9" ht="15.75" thickBot="1" x14ac:dyDescent="0.3">
      <c r="E34" t="s">
        <v>54</v>
      </c>
      <c r="F34" s="7">
        <f>F22-F25-F26-F24-F27-F28-F29-F30-F31-F32-F33</f>
        <v>5830</v>
      </c>
    </row>
    <row r="35" spans="3:9" ht="30.75" hidden="1" thickTop="1" x14ac:dyDescent="0.25">
      <c r="F35" s="4"/>
      <c r="G35" s="33" t="s">
        <v>58</v>
      </c>
    </row>
    <row r="36" spans="3:9" ht="15.75" hidden="1" thickTop="1" x14ac:dyDescent="0.25">
      <c r="E36" t="s">
        <v>22</v>
      </c>
      <c r="F36" s="27">
        <v>0</v>
      </c>
      <c r="G36" s="31">
        <v>4</v>
      </c>
    </row>
    <row r="37" spans="3:9" ht="15.75" hidden="1" thickTop="1" x14ac:dyDescent="0.25">
      <c r="E37" t="s">
        <v>24</v>
      </c>
      <c r="F37" s="4">
        <f>100*F36</f>
        <v>0</v>
      </c>
      <c r="G37" s="32">
        <f>G36*100</f>
        <v>400</v>
      </c>
    </row>
    <row r="38" spans="3:9" ht="16.5" hidden="1" thickTop="1" thickBot="1" x14ac:dyDescent="0.3">
      <c r="I38" s="28" t="s">
        <v>44</v>
      </c>
    </row>
    <row r="39" spans="3:9" ht="16.5" hidden="1" thickTop="1" thickBot="1" x14ac:dyDescent="0.3">
      <c r="C39" s="29"/>
      <c r="E39" s="8" t="s">
        <v>12</v>
      </c>
      <c r="F39" s="9">
        <v>0</v>
      </c>
      <c r="G39" s="34">
        <v>39</v>
      </c>
      <c r="H39" s="18" t="s">
        <v>13</v>
      </c>
      <c r="I39" s="10">
        <v>0</v>
      </c>
    </row>
    <row r="40" spans="3:9" ht="15.75" hidden="1" thickTop="1" x14ac:dyDescent="0.25">
      <c r="E40" t="s">
        <v>47</v>
      </c>
      <c r="F40" s="4">
        <f>IF(F39&lt;6,I39,IF(F39&lt;11,I40,IF(F39&lt;16,I41,IF(F39&lt;21,I42,IF(F39&lt;31,I43,IF(F39&lt;41,I44,IF(F39=41,I45,2050+(50*(F39-41)))))))))</f>
        <v>0</v>
      </c>
      <c r="H40" s="12" t="s">
        <v>14</v>
      </c>
      <c r="I40" s="13">
        <v>1000</v>
      </c>
    </row>
    <row r="41" spans="3:9" ht="15.75" hidden="1" thickTop="1" x14ac:dyDescent="0.25">
      <c r="E41" t="s">
        <v>48</v>
      </c>
      <c r="F41" s="4">
        <v>0</v>
      </c>
      <c r="H41" s="12" t="s">
        <v>15</v>
      </c>
      <c r="I41" s="13">
        <v>1500</v>
      </c>
    </row>
    <row r="42" spans="3:9" ht="15.75" hidden="1" thickTop="1" x14ac:dyDescent="0.25">
      <c r="H42" s="12" t="s">
        <v>16</v>
      </c>
      <c r="I42" s="13">
        <v>2000</v>
      </c>
    </row>
    <row r="43" spans="3:9" ht="15.75" hidden="1" thickTop="1" x14ac:dyDescent="0.25">
      <c r="E43" t="s">
        <v>23</v>
      </c>
      <c r="H43" s="12" t="s">
        <v>17</v>
      </c>
      <c r="I43" s="13">
        <v>2500</v>
      </c>
    </row>
    <row r="44" spans="3:9" ht="15.75" hidden="1" thickTop="1" x14ac:dyDescent="0.25">
      <c r="E44" t="s">
        <v>25</v>
      </c>
      <c r="F44" s="4">
        <v>0</v>
      </c>
      <c r="H44" s="12" t="s">
        <v>18</v>
      </c>
      <c r="I44" s="13">
        <v>3000</v>
      </c>
    </row>
    <row r="45" spans="3:9" ht="15.75" hidden="1" thickTop="1" x14ac:dyDescent="0.25">
      <c r="H45" s="12" t="s">
        <v>19</v>
      </c>
      <c r="I45" s="13">
        <v>4100</v>
      </c>
    </row>
    <row r="46" spans="3:9" ht="16.5" hidden="1" thickTop="1" thickBot="1" x14ac:dyDescent="0.3">
      <c r="H46" s="15"/>
      <c r="I46" s="16" t="s">
        <v>20</v>
      </c>
    </row>
    <row r="47" spans="3:9" ht="15.75" thickTop="1" x14ac:dyDescent="0.25"/>
    <row r="48" spans="3:9" x14ac:dyDescent="0.25">
      <c r="E48" t="s">
        <v>37</v>
      </c>
      <c r="F48" s="4">
        <f>2415.18/3</f>
        <v>805.06</v>
      </c>
    </row>
    <row r="49" spans="5:6" x14ac:dyDescent="0.25">
      <c r="E49" t="s">
        <v>51</v>
      </c>
      <c r="F49" s="4">
        <f>293.38</f>
        <v>293.38</v>
      </c>
    </row>
    <row r="50" spans="5:6" x14ac:dyDescent="0.25">
      <c r="E50" t="s">
        <v>52</v>
      </c>
      <c r="F50" s="4"/>
    </row>
    <row r="51" spans="5:6" x14ac:dyDescent="0.25">
      <c r="E51" t="s">
        <v>53</v>
      </c>
      <c r="F51" s="4"/>
    </row>
    <row r="52" spans="5:6" ht="15.75" thickBot="1" x14ac:dyDescent="0.3">
      <c r="E52" t="s">
        <v>35</v>
      </c>
      <c r="F52" s="19">
        <f>F34+F37+F40-F41-F44-SUM(F48:F51)</f>
        <v>4731.5599999999995</v>
      </c>
    </row>
    <row r="53" spans="5:6" ht="15.75" thickTop="1" x14ac:dyDescent="0.25"/>
    <row r="54" spans="5:6" x14ac:dyDescent="0.25">
      <c r="E54" t="s">
        <v>34</v>
      </c>
    </row>
    <row r="56" spans="5:6" ht="15.75" thickBot="1" x14ac:dyDescent="0.3">
      <c r="E56" t="s">
        <v>36</v>
      </c>
      <c r="F56" s="19">
        <f>F52-F54</f>
        <v>4731.5599999999995</v>
      </c>
    </row>
    <row r="57" spans="5:6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D858-F3EB-4E9C-B35B-9336A9E31B76}">
  <dimension ref="C1:O60"/>
  <sheetViews>
    <sheetView topLeftCell="C25" workbookViewId="0">
      <selection activeCell="G14" sqref="G14"/>
    </sheetView>
  </sheetViews>
  <sheetFormatPr defaultRowHeight="15" x14ac:dyDescent="0.25"/>
  <cols>
    <col min="4" max="4" width="4.140625" customWidth="1"/>
    <col min="5" max="5" width="36.140625" bestFit="1" customWidth="1"/>
    <col min="6" max="6" width="15.28515625" bestFit="1" customWidth="1"/>
    <col min="7" max="7" width="9.5703125" bestFit="1" customWidth="1"/>
    <col min="9" max="10" width="9.5703125" bestFit="1" customWidth="1"/>
    <col min="11" max="11" width="22.140625" bestFit="1" customWidth="1"/>
    <col min="12" max="12" width="10.5703125" bestFit="1" customWidth="1"/>
    <col min="13" max="13" width="15.85546875" bestFit="1" customWidth="1"/>
    <col min="14" max="14" width="9.5703125" bestFit="1" customWidth="1"/>
    <col min="15" max="15" width="14.5703125" bestFit="1" customWidth="1"/>
  </cols>
  <sheetData>
    <row r="1" spans="5:15" x14ac:dyDescent="0.25">
      <c r="E1" t="s">
        <v>7</v>
      </c>
    </row>
    <row r="2" spans="5:15" ht="15.75" thickBot="1" x14ac:dyDescent="0.3">
      <c r="L2" s="26" t="s">
        <v>42</v>
      </c>
      <c r="M2" s="26" t="s">
        <v>50</v>
      </c>
      <c r="N2" s="26" t="s">
        <v>63</v>
      </c>
      <c r="O2" s="26" t="s">
        <v>64</v>
      </c>
    </row>
    <row r="3" spans="5:15" ht="15.75" thickBot="1" x14ac:dyDescent="0.3">
      <c r="E3" t="s">
        <v>3</v>
      </c>
      <c r="F3" s="25">
        <v>0</v>
      </c>
      <c r="G3" s="1">
        <v>1</v>
      </c>
      <c r="K3" t="s">
        <v>43</v>
      </c>
      <c r="L3" s="40">
        <v>13250</v>
      </c>
      <c r="M3" s="40">
        <v>12590</v>
      </c>
      <c r="N3" s="40">
        <v>1980</v>
      </c>
      <c r="O3" s="5">
        <f>M3+N3</f>
        <v>14570</v>
      </c>
    </row>
    <row r="4" spans="5:15" ht="15.75" thickBot="1" x14ac:dyDescent="0.3">
      <c r="E4" t="s">
        <v>59</v>
      </c>
      <c r="F4" s="25">
        <v>4000</v>
      </c>
      <c r="G4" s="1"/>
      <c r="K4" t="s">
        <v>40</v>
      </c>
      <c r="L4" s="40">
        <v>6400</v>
      </c>
      <c r="M4" s="40">
        <v>5830</v>
      </c>
      <c r="N4" s="40">
        <v>4170</v>
      </c>
      <c r="O4" s="5">
        <f t="shared" ref="O4:O7" si="0">M4+N4</f>
        <v>10000</v>
      </c>
    </row>
    <row r="5" spans="5:15" ht="15.75" thickBot="1" x14ac:dyDescent="0.3">
      <c r="E5" t="s">
        <v>60</v>
      </c>
      <c r="F5" s="25">
        <v>0</v>
      </c>
      <c r="G5" s="1"/>
      <c r="K5" t="s">
        <v>41</v>
      </c>
      <c r="L5" s="40">
        <v>4100</v>
      </c>
      <c r="M5" s="40">
        <v>3830</v>
      </c>
      <c r="N5" s="40">
        <v>420</v>
      </c>
      <c r="O5" s="5">
        <f t="shared" si="0"/>
        <v>4250</v>
      </c>
    </row>
    <row r="6" spans="5:15" x14ac:dyDescent="0.25">
      <c r="E6" t="s">
        <v>4</v>
      </c>
      <c r="F6" s="5">
        <f>G6*F$3</f>
        <v>0</v>
      </c>
      <c r="G6" s="1">
        <f>35%*100%</f>
        <v>0.35</v>
      </c>
      <c r="L6" s="30">
        <f>SUM(L3:L5)</f>
        <v>23750</v>
      </c>
      <c r="M6" s="30">
        <f>SUM(M3:M5)</f>
        <v>22250</v>
      </c>
      <c r="N6" s="30">
        <f>SUM(N3:N5)</f>
        <v>6570</v>
      </c>
      <c r="O6" s="38">
        <f t="shared" si="0"/>
        <v>28820</v>
      </c>
    </row>
    <row r="7" spans="5:15" ht="15.75" thickBot="1" x14ac:dyDescent="0.3">
      <c r="E7" t="s">
        <v>5</v>
      </c>
      <c r="F7" s="5">
        <f>G7*F$3</f>
        <v>0</v>
      </c>
      <c r="G7" s="1">
        <f>70%*G3</f>
        <v>0.7</v>
      </c>
      <c r="K7" t="s">
        <v>49</v>
      </c>
      <c r="L7" s="7">
        <f>L3-L6</f>
        <v>-10500</v>
      </c>
      <c r="M7" s="7">
        <f>M3-M6</f>
        <v>-9660</v>
      </c>
      <c r="N7" s="7">
        <f>N3-N6</f>
        <v>-4590</v>
      </c>
      <c r="O7" s="19">
        <f t="shared" si="0"/>
        <v>-14250</v>
      </c>
    </row>
    <row r="8" spans="5:15" ht="15.75" thickTop="1" x14ac:dyDescent="0.25">
      <c r="E8" t="s">
        <v>65</v>
      </c>
      <c r="F8" s="23">
        <f>F4*30%</f>
        <v>1200</v>
      </c>
      <c r="G8" s="39" t="e">
        <f>F8/F3</f>
        <v>#DIV/0!</v>
      </c>
    </row>
    <row r="9" spans="5:15" ht="15.75" thickBot="1" x14ac:dyDescent="0.3">
      <c r="F9" s="19">
        <f>SUM(F6:F8)</f>
        <v>1200</v>
      </c>
      <c r="G9" s="35" t="e">
        <f>SUM(G6:G8)</f>
        <v>#DIV/0!</v>
      </c>
      <c r="H9" s="36"/>
    </row>
    <row r="10" spans="5:15" ht="15.75" thickTop="1" x14ac:dyDescent="0.25">
      <c r="E10" t="s">
        <v>66</v>
      </c>
      <c r="F10" s="23">
        <v>0</v>
      </c>
      <c r="G10" s="39"/>
    </row>
    <row r="11" spans="5:15" ht="15.75" thickBot="1" x14ac:dyDescent="0.3">
      <c r="E11" t="s">
        <v>67</v>
      </c>
      <c r="F11" s="19">
        <f>F9+F10</f>
        <v>1200</v>
      </c>
      <c r="G11" s="1"/>
      <c r="M11" s="4"/>
    </row>
    <row r="12" spans="5:15" ht="15.75" thickTop="1" x14ac:dyDescent="0.25">
      <c r="F12" s="5"/>
      <c r="G12" s="1"/>
      <c r="M12" s="4">
        <f>F4*30%</f>
        <v>1200</v>
      </c>
    </row>
    <row r="13" spans="5:15" x14ac:dyDescent="0.25">
      <c r="E13" t="s">
        <v>61</v>
      </c>
      <c r="F13" s="5">
        <f>F4*G13</f>
        <v>440</v>
      </c>
      <c r="G13" s="37">
        <v>0.11</v>
      </c>
      <c r="M13" s="4"/>
    </row>
    <row r="14" spans="5:15" x14ac:dyDescent="0.25">
      <c r="E14" t="s">
        <v>62</v>
      </c>
      <c r="F14" s="5">
        <f>F5*G14</f>
        <v>0</v>
      </c>
      <c r="G14" s="1">
        <v>0.17</v>
      </c>
      <c r="M14" s="4">
        <f>F5*30%</f>
        <v>0</v>
      </c>
    </row>
    <row r="15" spans="5:15" x14ac:dyDescent="0.25">
      <c r="E15" t="s">
        <v>0</v>
      </c>
      <c r="F15" s="5">
        <f>G15*(F$9+G37)</f>
        <v>80</v>
      </c>
      <c r="G15" s="2">
        <v>0.05</v>
      </c>
      <c r="H15" t="s">
        <v>38</v>
      </c>
    </row>
    <row r="16" spans="5:15" x14ac:dyDescent="0.25">
      <c r="E16" t="s">
        <v>1</v>
      </c>
      <c r="F16" s="5">
        <f>(F9+G37)*G16</f>
        <v>80</v>
      </c>
      <c r="G16" s="2">
        <v>0.05</v>
      </c>
      <c r="H16" t="s">
        <v>38</v>
      </c>
    </row>
    <row r="17" spans="4:13" x14ac:dyDescent="0.25">
      <c r="E17" t="s">
        <v>2</v>
      </c>
      <c r="F17" s="5">
        <f>(F9+G37)*G17</f>
        <v>80</v>
      </c>
      <c r="G17" s="2">
        <v>0.05</v>
      </c>
      <c r="H17" t="s">
        <v>38</v>
      </c>
    </row>
    <row r="18" spans="4:13" x14ac:dyDescent="0.25">
      <c r="E18" t="s">
        <v>6</v>
      </c>
      <c r="F18" s="5">
        <f>F3*G18</f>
        <v>0</v>
      </c>
      <c r="G18" s="41">
        <v>0.11</v>
      </c>
    </row>
    <row r="19" spans="4:13" x14ac:dyDescent="0.25">
      <c r="E19" t="s">
        <v>39</v>
      </c>
      <c r="F19" s="5">
        <f>F3*G19</f>
        <v>0</v>
      </c>
      <c r="G19" s="2">
        <v>0.02</v>
      </c>
    </row>
    <row r="20" spans="4:13" ht="15.75" thickBot="1" x14ac:dyDescent="0.3">
      <c r="F20" s="19">
        <f>SUM(F13:F19)</f>
        <v>680</v>
      </c>
      <c r="G20" s="3">
        <f>F20/(F9+F10)</f>
        <v>0.56666666666666665</v>
      </c>
    </row>
    <row r="21" spans="4:13" ht="15.75" thickTop="1" x14ac:dyDescent="0.25">
      <c r="F21" s="5"/>
      <c r="M21" s="5"/>
    </row>
    <row r="22" spans="4:13" ht="15.75" thickBot="1" x14ac:dyDescent="0.3">
      <c r="E22" t="s">
        <v>8</v>
      </c>
      <c r="F22" s="19">
        <f>F9+F10-F20</f>
        <v>520</v>
      </c>
      <c r="G22" s="3">
        <f>F22/F11</f>
        <v>0.43333333333333335</v>
      </c>
    </row>
    <row r="23" spans="4:13" ht="15.75" thickTop="1" x14ac:dyDescent="0.25">
      <c r="G23" s="26" t="s">
        <v>57</v>
      </c>
      <c r="H23" s="26" t="s">
        <v>28</v>
      </c>
    </row>
    <row r="24" spans="4:13" x14ac:dyDescent="0.25">
      <c r="E24" t="s">
        <v>26</v>
      </c>
      <c r="F24" s="4">
        <f>G24*H24</f>
        <v>1645.71</v>
      </c>
      <c r="G24" s="4">
        <v>1645.71</v>
      </c>
      <c r="H24" s="27">
        <v>1</v>
      </c>
      <c r="I24" s="5"/>
      <c r="M24" s="5"/>
    </row>
    <row r="25" spans="4:13" x14ac:dyDescent="0.25">
      <c r="D25" s="6"/>
      <c r="E25" t="s">
        <v>10</v>
      </c>
      <c r="F25" s="4">
        <f>F24/12</f>
        <v>137.14250000000001</v>
      </c>
      <c r="G25" s="4"/>
      <c r="I25" s="5"/>
      <c r="M25" s="5"/>
    </row>
    <row r="26" spans="4:13" x14ac:dyDescent="0.25">
      <c r="D26" s="6"/>
      <c r="E26" t="s">
        <v>11</v>
      </c>
      <c r="F26" s="4">
        <f>F24/3/12</f>
        <v>45.714166666666671</v>
      </c>
      <c r="G26" s="4"/>
      <c r="M26" s="5"/>
    </row>
    <row r="27" spans="4:13" x14ac:dyDescent="0.25">
      <c r="E27" t="s">
        <v>31</v>
      </c>
      <c r="F27" s="4">
        <f>(G27*2)/2</f>
        <v>0</v>
      </c>
      <c r="G27" s="4">
        <v>0</v>
      </c>
      <c r="M27" s="5"/>
    </row>
    <row r="28" spans="4:13" x14ac:dyDescent="0.25">
      <c r="E28" t="s">
        <v>32</v>
      </c>
      <c r="F28" s="4">
        <f>(G28*2)/2</f>
        <v>0</v>
      </c>
      <c r="G28" s="4">
        <v>0</v>
      </c>
      <c r="M28" s="5"/>
    </row>
    <row r="29" spans="4:13" x14ac:dyDescent="0.25">
      <c r="E29" t="s">
        <v>27</v>
      </c>
      <c r="F29" s="4">
        <f>G29*2</f>
        <v>0</v>
      </c>
      <c r="G29" s="4">
        <v>0</v>
      </c>
      <c r="M29" s="5"/>
    </row>
    <row r="30" spans="4:13" x14ac:dyDescent="0.25">
      <c r="E30" t="s">
        <v>33</v>
      </c>
      <c r="F30" s="4">
        <v>0</v>
      </c>
      <c r="G30" s="4"/>
      <c r="L30" s="20"/>
      <c r="M30" s="5"/>
    </row>
    <row r="31" spans="4:13" x14ac:dyDescent="0.25">
      <c r="E31" t="s">
        <v>29</v>
      </c>
      <c r="F31" s="4">
        <f>F24*G31</f>
        <v>143.67048300000002</v>
      </c>
      <c r="G31" s="22">
        <v>8.7300000000000003E-2</v>
      </c>
      <c r="L31" s="20"/>
    </row>
    <row r="32" spans="4:13" x14ac:dyDescent="0.25">
      <c r="E32" t="s">
        <v>30</v>
      </c>
      <c r="F32" s="4">
        <f>F24*G32</f>
        <v>164.57100000000003</v>
      </c>
      <c r="G32" s="22">
        <v>0.1</v>
      </c>
    </row>
    <row r="33" spans="3:12" x14ac:dyDescent="0.25">
      <c r="E33" t="s">
        <v>9</v>
      </c>
      <c r="F33" s="5">
        <f>F11*G33</f>
        <v>156</v>
      </c>
      <c r="G33" s="2">
        <v>0.13</v>
      </c>
    </row>
    <row r="34" spans="3:12" ht="15.75" thickBot="1" x14ac:dyDescent="0.3">
      <c r="E34" t="s">
        <v>54</v>
      </c>
      <c r="F34" s="7">
        <f>F22-F25-F26-F24-F27-F28-F29-F30-F31-F32-F33</f>
        <v>-1772.8081496666668</v>
      </c>
      <c r="L34" s="21"/>
    </row>
    <row r="35" spans="3:12" ht="30.75" thickTop="1" x14ac:dyDescent="0.25">
      <c r="F35" s="4"/>
      <c r="G35" s="33" t="s">
        <v>58</v>
      </c>
    </row>
    <row r="36" spans="3:12" x14ac:dyDescent="0.25">
      <c r="E36" t="s">
        <v>22</v>
      </c>
      <c r="F36" s="27">
        <v>0</v>
      </c>
      <c r="G36" s="31">
        <v>4</v>
      </c>
    </row>
    <row r="37" spans="3:12" ht="15.75" thickBot="1" x14ac:dyDescent="0.3">
      <c r="E37" t="s">
        <v>24</v>
      </c>
      <c r="F37" s="4">
        <f>100*F36</f>
        <v>0</v>
      </c>
      <c r="G37" s="32">
        <f>G36*100</f>
        <v>400</v>
      </c>
    </row>
    <row r="38" spans="3:12" ht="15.75" thickBot="1" x14ac:dyDescent="0.3">
      <c r="I38" s="28" t="s">
        <v>44</v>
      </c>
      <c r="J38" s="28" t="s">
        <v>45</v>
      </c>
      <c r="K38" s="28" t="s">
        <v>46</v>
      </c>
    </row>
    <row r="39" spans="3:12" ht="15.75" thickBot="1" x14ac:dyDescent="0.3">
      <c r="C39" s="29"/>
      <c r="E39" s="8" t="s">
        <v>12</v>
      </c>
      <c r="F39" s="9">
        <v>21</v>
      </c>
      <c r="G39" s="34">
        <v>39</v>
      </c>
      <c r="H39" s="18" t="s">
        <v>13</v>
      </c>
      <c r="I39" s="10">
        <v>0</v>
      </c>
      <c r="J39" s="10">
        <f>5*50</f>
        <v>250</v>
      </c>
      <c r="K39" s="11">
        <f>I39-J39</f>
        <v>-250</v>
      </c>
    </row>
    <row r="40" spans="3:12" x14ac:dyDescent="0.25">
      <c r="E40" t="s">
        <v>47</v>
      </c>
      <c r="F40" s="4">
        <f>IF(F39&lt;6,I39,IF(F39&lt;11,I40,IF(F39&lt;16,I41,IF(F39&lt;21,I42,IF(F39&lt;31,I43,IF(F39&lt;41,I44,IF(F39=41,I45,2050+(50*(F39-41)))))))))</f>
        <v>2500</v>
      </c>
      <c r="H40" s="12" t="s">
        <v>14</v>
      </c>
      <c r="I40" s="13">
        <v>1000</v>
      </c>
      <c r="J40" s="13">
        <f>10*50</f>
        <v>500</v>
      </c>
      <c r="K40" s="14">
        <f t="shared" ref="K40:K45" si="1">I40-J40</f>
        <v>500</v>
      </c>
    </row>
    <row r="41" spans="3:12" x14ac:dyDescent="0.25">
      <c r="E41" t="s">
        <v>48</v>
      </c>
      <c r="F41" s="4">
        <f>F39*50</f>
        <v>1050</v>
      </c>
      <c r="H41" s="12" t="s">
        <v>15</v>
      </c>
      <c r="I41" s="13">
        <v>1500</v>
      </c>
      <c r="J41" s="13">
        <f>15*50</f>
        <v>750</v>
      </c>
      <c r="K41" s="14">
        <f t="shared" si="1"/>
        <v>750</v>
      </c>
    </row>
    <row r="42" spans="3:12" x14ac:dyDescent="0.25">
      <c r="H42" s="12" t="s">
        <v>16</v>
      </c>
      <c r="I42" s="13">
        <v>2000</v>
      </c>
      <c r="J42" s="13">
        <f>20*50</f>
        <v>1000</v>
      </c>
      <c r="K42" s="14">
        <f t="shared" si="1"/>
        <v>1000</v>
      </c>
    </row>
    <row r="43" spans="3:12" x14ac:dyDescent="0.25">
      <c r="E43" t="s">
        <v>23</v>
      </c>
      <c r="H43" s="12" t="s">
        <v>17</v>
      </c>
      <c r="I43" s="13">
        <v>2500</v>
      </c>
      <c r="J43" s="13">
        <f>30*50</f>
        <v>1500</v>
      </c>
      <c r="K43" s="14">
        <f t="shared" si="1"/>
        <v>1000</v>
      </c>
    </row>
    <row r="44" spans="3:12" x14ac:dyDescent="0.25">
      <c r="E44" t="s">
        <v>25</v>
      </c>
      <c r="F44" s="4">
        <v>0</v>
      </c>
      <c r="H44" s="12" t="s">
        <v>18</v>
      </c>
      <c r="I44" s="13">
        <v>3000</v>
      </c>
      <c r="J44" s="13">
        <f>40*50</f>
        <v>2000</v>
      </c>
      <c r="K44" s="14">
        <f t="shared" si="1"/>
        <v>1000</v>
      </c>
    </row>
    <row r="45" spans="3:12" x14ac:dyDescent="0.25">
      <c r="H45" s="12" t="s">
        <v>19</v>
      </c>
      <c r="I45" s="13">
        <v>4100</v>
      </c>
      <c r="J45" s="13">
        <f>41*50</f>
        <v>2050</v>
      </c>
      <c r="K45" s="14">
        <f t="shared" si="1"/>
        <v>2050</v>
      </c>
    </row>
    <row r="46" spans="3:12" ht="15.75" thickBot="1" x14ac:dyDescent="0.3">
      <c r="H46" s="15"/>
      <c r="I46" s="16" t="s">
        <v>20</v>
      </c>
      <c r="J46" s="16" t="s">
        <v>21</v>
      </c>
      <c r="K46" s="17"/>
    </row>
    <row r="48" spans="3:12" x14ac:dyDescent="0.25">
      <c r="E48" t="s">
        <v>37</v>
      </c>
      <c r="F48" s="4">
        <v>0</v>
      </c>
    </row>
    <row r="49" spans="5:6" x14ac:dyDescent="0.25">
      <c r="E49" t="s">
        <v>51</v>
      </c>
      <c r="F49" s="4">
        <v>293.38</v>
      </c>
    </row>
    <row r="50" spans="5:6" x14ac:dyDescent="0.25">
      <c r="E50" t="s">
        <v>52</v>
      </c>
      <c r="F50" s="4">
        <v>0</v>
      </c>
    </row>
    <row r="51" spans="5:6" x14ac:dyDescent="0.25">
      <c r="E51" t="s">
        <v>53</v>
      </c>
      <c r="F51" s="4">
        <v>140</v>
      </c>
    </row>
    <row r="52" spans="5:6" ht="15.75" thickBot="1" x14ac:dyDescent="0.3">
      <c r="E52" t="s">
        <v>35</v>
      </c>
      <c r="F52" s="19">
        <f>F34+F37+F40-F41-F44-SUM(F48:F51)</f>
        <v>-756.18814966666685</v>
      </c>
    </row>
    <row r="53" spans="5:6" ht="15.75" thickTop="1" x14ac:dyDescent="0.25"/>
    <row r="54" spans="5:6" x14ac:dyDescent="0.25">
      <c r="E54" t="s">
        <v>34</v>
      </c>
    </row>
    <row r="56" spans="5:6" ht="15.75" thickBot="1" x14ac:dyDescent="0.3">
      <c r="E56" t="s">
        <v>36</v>
      </c>
      <c r="F56" s="19">
        <f>F52-F54</f>
        <v>-756.18814966666685</v>
      </c>
    </row>
    <row r="57" spans="5:6" ht="15.75" thickTop="1" x14ac:dyDescent="0.25"/>
    <row r="58" spans="5:6" x14ac:dyDescent="0.25">
      <c r="E58" t="s">
        <v>55</v>
      </c>
      <c r="F58" s="5">
        <f>O7</f>
        <v>-14250</v>
      </c>
    </row>
    <row r="59" spans="5:6" ht="15.75" thickBot="1" x14ac:dyDescent="0.3"/>
    <row r="60" spans="5:6" ht="15.75" thickBot="1" x14ac:dyDescent="0.3">
      <c r="E60" t="s">
        <v>56</v>
      </c>
      <c r="F60" s="24">
        <f>F56+F58</f>
        <v>-15006.188149666667</v>
      </c>
    </row>
  </sheetData>
  <conditionalFormatting sqref="F60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DF88-D4CA-482E-A903-5C31938F666C}">
  <dimension ref="C1:O60"/>
  <sheetViews>
    <sheetView topLeftCell="C1" workbookViewId="0">
      <selection activeCell="G34" sqref="G34"/>
    </sheetView>
  </sheetViews>
  <sheetFormatPr defaultRowHeight="15" x14ac:dyDescent="0.25"/>
  <cols>
    <col min="4" max="4" width="4.140625" customWidth="1"/>
    <col min="5" max="5" width="36.140625" bestFit="1" customWidth="1"/>
    <col min="6" max="6" width="15.28515625" bestFit="1" customWidth="1"/>
    <col min="7" max="7" width="9.5703125" bestFit="1" customWidth="1"/>
    <col min="9" max="10" width="9.5703125" bestFit="1" customWidth="1"/>
    <col min="11" max="11" width="22.140625" bestFit="1" customWidth="1"/>
    <col min="12" max="12" width="10.5703125" bestFit="1" customWidth="1"/>
    <col min="13" max="13" width="15.85546875" bestFit="1" customWidth="1"/>
    <col min="14" max="14" width="9.5703125" bestFit="1" customWidth="1"/>
    <col min="15" max="15" width="14.5703125" bestFit="1" customWidth="1"/>
  </cols>
  <sheetData>
    <row r="1" spans="5:15" x14ac:dyDescent="0.25">
      <c r="E1" t="s">
        <v>7</v>
      </c>
    </row>
    <row r="2" spans="5:15" ht="15.75" thickBot="1" x14ac:dyDescent="0.3">
      <c r="L2" s="26" t="s">
        <v>42</v>
      </c>
      <c r="M2" s="26" t="s">
        <v>50</v>
      </c>
      <c r="N2" s="26" t="s">
        <v>63</v>
      </c>
      <c r="O2" s="26" t="s">
        <v>64</v>
      </c>
    </row>
    <row r="3" spans="5:15" ht="15.75" thickBot="1" x14ac:dyDescent="0.3">
      <c r="E3" t="s">
        <v>3</v>
      </c>
      <c r="F3" s="25">
        <v>0</v>
      </c>
      <c r="G3" s="1">
        <v>1</v>
      </c>
      <c r="K3" t="s">
        <v>43</v>
      </c>
      <c r="L3" s="40">
        <v>13250</v>
      </c>
      <c r="M3" s="40">
        <v>12590</v>
      </c>
      <c r="N3" s="40">
        <v>1980</v>
      </c>
      <c r="O3" s="5">
        <f>M3+N3</f>
        <v>14570</v>
      </c>
    </row>
    <row r="4" spans="5:15" ht="15.75" thickBot="1" x14ac:dyDescent="0.3">
      <c r="E4" t="s">
        <v>59</v>
      </c>
      <c r="F4" s="25">
        <v>4000</v>
      </c>
      <c r="G4" s="1"/>
      <c r="K4" t="s">
        <v>40</v>
      </c>
      <c r="L4" s="40">
        <v>6400</v>
      </c>
      <c r="M4" s="40">
        <v>5830</v>
      </c>
      <c r="N4" s="40">
        <v>4170</v>
      </c>
      <c r="O4" s="5">
        <f t="shared" ref="O4:O7" si="0">M4+N4</f>
        <v>10000</v>
      </c>
    </row>
    <row r="5" spans="5:15" ht="15.75" thickBot="1" x14ac:dyDescent="0.3">
      <c r="E5" t="s">
        <v>60</v>
      </c>
      <c r="F5" s="25">
        <v>0</v>
      </c>
      <c r="G5" s="1"/>
      <c r="K5" t="s">
        <v>41</v>
      </c>
      <c r="L5" s="40">
        <v>4100</v>
      </c>
      <c r="M5" s="40">
        <v>3830</v>
      </c>
      <c r="N5" s="40">
        <v>420</v>
      </c>
      <c r="O5" s="5">
        <f t="shared" si="0"/>
        <v>4250</v>
      </c>
    </row>
    <row r="6" spans="5:15" x14ac:dyDescent="0.25">
      <c r="E6" t="s">
        <v>4</v>
      </c>
      <c r="F6" s="5">
        <f>G6*F$3</f>
        <v>0</v>
      </c>
      <c r="G6" s="1">
        <f>35%*100%</f>
        <v>0.35</v>
      </c>
      <c r="L6" s="30">
        <f>SUM(L3:L5)</f>
        <v>23750</v>
      </c>
      <c r="M6" s="30">
        <f>SUM(M3:M5)</f>
        <v>22250</v>
      </c>
      <c r="N6" s="30">
        <f>SUM(N3:N5)</f>
        <v>6570</v>
      </c>
      <c r="O6" s="38">
        <f t="shared" si="0"/>
        <v>28820</v>
      </c>
    </row>
    <row r="7" spans="5:15" ht="15.75" thickBot="1" x14ac:dyDescent="0.3">
      <c r="E7" t="s">
        <v>5</v>
      </c>
      <c r="F7" s="5">
        <f>G7*F$3</f>
        <v>0</v>
      </c>
      <c r="G7" s="1">
        <f>70%*G3</f>
        <v>0.7</v>
      </c>
      <c r="K7" t="s">
        <v>49</v>
      </c>
      <c r="L7" s="7">
        <f>L3-L6</f>
        <v>-10500</v>
      </c>
      <c r="M7" s="7">
        <f>M3-M6</f>
        <v>-9660</v>
      </c>
      <c r="N7" s="7">
        <f>N3-N6</f>
        <v>-4590</v>
      </c>
      <c r="O7" s="19">
        <f t="shared" si="0"/>
        <v>-14250</v>
      </c>
    </row>
    <row r="8" spans="5:15" ht="15.75" thickTop="1" x14ac:dyDescent="0.25">
      <c r="E8" t="s">
        <v>65</v>
      </c>
      <c r="F8" s="23">
        <f>F4*30%</f>
        <v>1200</v>
      </c>
      <c r="G8" s="39" t="e">
        <f>F8/F3</f>
        <v>#DIV/0!</v>
      </c>
    </row>
    <row r="9" spans="5:15" ht="15.75" thickBot="1" x14ac:dyDescent="0.3">
      <c r="F9" s="19">
        <f>SUM(F6:F8)</f>
        <v>1200</v>
      </c>
      <c r="G9" s="35" t="e">
        <f>SUM(G6:G8)</f>
        <v>#DIV/0!</v>
      </c>
      <c r="H9" s="36"/>
    </row>
    <row r="10" spans="5:15" ht="15.75" thickTop="1" x14ac:dyDescent="0.25">
      <c r="E10" t="s">
        <v>66</v>
      </c>
      <c r="F10" s="23">
        <v>0</v>
      </c>
      <c r="G10" s="39"/>
    </row>
    <row r="11" spans="5:15" ht="15.75" thickBot="1" x14ac:dyDescent="0.3">
      <c r="E11" t="s">
        <v>67</v>
      </c>
      <c r="F11" s="19">
        <f>F9+F10</f>
        <v>1200</v>
      </c>
      <c r="G11" s="1"/>
      <c r="M11" s="4"/>
    </row>
    <row r="12" spans="5:15" ht="15.75" thickTop="1" x14ac:dyDescent="0.25">
      <c r="F12" s="5"/>
      <c r="G12" s="1"/>
      <c r="M12" s="4"/>
    </row>
    <row r="13" spans="5:15" x14ac:dyDescent="0.25">
      <c r="E13" t="s">
        <v>61</v>
      </c>
      <c r="F13" s="5">
        <f>F4*G13</f>
        <v>440</v>
      </c>
      <c r="G13" s="37">
        <v>0.11</v>
      </c>
      <c r="M13" s="4"/>
    </row>
    <row r="14" spans="5:15" x14ac:dyDescent="0.25">
      <c r="E14" t="s">
        <v>62</v>
      </c>
      <c r="F14" s="5">
        <f>F5*G14</f>
        <v>0</v>
      </c>
      <c r="G14" s="1">
        <v>0.17</v>
      </c>
      <c r="M14" s="4"/>
    </row>
    <row r="15" spans="5:15" x14ac:dyDescent="0.25">
      <c r="E15" t="s">
        <v>0</v>
      </c>
      <c r="F15" s="5">
        <f>G15*(F$9+G37)</f>
        <v>80</v>
      </c>
      <c r="G15" s="2">
        <v>0.05</v>
      </c>
      <c r="H15" t="s">
        <v>38</v>
      </c>
    </row>
    <row r="16" spans="5:15" x14ac:dyDescent="0.25">
      <c r="E16" t="s">
        <v>1</v>
      </c>
      <c r="F16" s="5">
        <f>(F9+G37)*G16</f>
        <v>80</v>
      </c>
      <c r="G16" s="2">
        <v>0.05</v>
      </c>
      <c r="H16" t="s">
        <v>38</v>
      </c>
    </row>
    <row r="17" spans="4:13" x14ac:dyDescent="0.25">
      <c r="E17" t="s">
        <v>2</v>
      </c>
      <c r="F17" s="5">
        <f>(F9+G37)*G17</f>
        <v>80</v>
      </c>
      <c r="G17" s="2">
        <v>0.05</v>
      </c>
      <c r="H17" t="s">
        <v>38</v>
      </c>
    </row>
    <row r="18" spans="4:13" x14ac:dyDescent="0.25">
      <c r="E18" t="s">
        <v>6</v>
      </c>
      <c r="F18" s="5">
        <f>F3*G18</f>
        <v>0</v>
      </c>
      <c r="G18" s="41">
        <v>0.11</v>
      </c>
    </row>
    <row r="19" spans="4:13" x14ac:dyDescent="0.25">
      <c r="E19" t="s">
        <v>39</v>
      </c>
      <c r="F19" s="5">
        <f>F3*G19</f>
        <v>0</v>
      </c>
      <c r="G19" s="2">
        <v>0.02</v>
      </c>
    </row>
    <row r="20" spans="4:13" ht="15.75" thickBot="1" x14ac:dyDescent="0.3">
      <c r="F20" s="19">
        <f>SUM(F13:F19)</f>
        <v>680</v>
      </c>
      <c r="G20" s="3">
        <f>F20/(F9+F10)</f>
        <v>0.56666666666666665</v>
      </c>
    </row>
    <row r="21" spans="4:13" ht="15.75" thickTop="1" x14ac:dyDescent="0.25">
      <c r="F21" s="5"/>
      <c r="M21" s="5"/>
    </row>
    <row r="22" spans="4:13" ht="15.75" thickBot="1" x14ac:dyDescent="0.3">
      <c r="E22" t="s">
        <v>8</v>
      </c>
      <c r="F22" s="19">
        <f>F9+F10-F20</f>
        <v>520</v>
      </c>
      <c r="G22" s="3">
        <f>F22/F11</f>
        <v>0.43333333333333335</v>
      </c>
    </row>
    <row r="23" spans="4:13" ht="15.75" thickTop="1" x14ac:dyDescent="0.25">
      <c r="G23" s="26" t="s">
        <v>57</v>
      </c>
      <c r="H23" s="26" t="s">
        <v>28</v>
      </c>
    </row>
    <row r="24" spans="4:13" x14ac:dyDescent="0.25">
      <c r="E24" t="s">
        <v>26</v>
      </c>
      <c r="F24" s="4">
        <v>1000</v>
      </c>
      <c r="G24" s="4">
        <v>0</v>
      </c>
      <c r="H24" s="27">
        <v>1</v>
      </c>
      <c r="I24" s="5"/>
      <c r="M24" s="5"/>
    </row>
    <row r="25" spans="4:13" x14ac:dyDescent="0.25">
      <c r="D25" s="6"/>
      <c r="E25" t="s">
        <v>10</v>
      </c>
      <c r="F25" s="4">
        <v>0</v>
      </c>
      <c r="G25" s="4"/>
      <c r="I25" s="5"/>
      <c r="M25" s="5"/>
    </row>
    <row r="26" spans="4:13" x14ac:dyDescent="0.25">
      <c r="D26" s="6"/>
      <c r="E26" t="s">
        <v>11</v>
      </c>
      <c r="F26" s="4">
        <v>0</v>
      </c>
      <c r="G26" s="4"/>
      <c r="M26" s="5"/>
    </row>
    <row r="27" spans="4:13" x14ac:dyDescent="0.25">
      <c r="E27" t="s">
        <v>31</v>
      </c>
      <c r="F27" s="4">
        <f>(G27*2)/2</f>
        <v>0</v>
      </c>
      <c r="G27" s="4">
        <v>0</v>
      </c>
      <c r="M27" s="5"/>
    </row>
    <row r="28" spans="4:13" x14ac:dyDescent="0.25">
      <c r="E28" t="s">
        <v>32</v>
      </c>
      <c r="F28" s="4">
        <f>(G28*2)/2</f>
        <v>0</v>
      </c>
      <c r="G28" s="4">
        <v>0</v>
      </c>
      <c r="M28" s="5"/>
    </row>
    <row r="29" spans="4:13" x14ac:dyDescent="0.25">
      <c r="E29" t="s">
        <v>27</v>
      </c>
      <c r="F29" s="4">
        <f>G29*2</f>
        <v>0</v>
      </c>
      <c r="G29" s="4">
        <v>0</v>
      </c>
      <c r="M29" s="5"/>
    </row>
    <row r="30" spans="4:13" x14ac:dyDescent="0.25">
      <c r="E30" t="s">
        <v>33</v>
      </c>
      <c r="F30" s="4">
        <v>0</v>
      </c>
      <c r="G30" s="4"/>
      <c r="L30" s="20"/>
      <c r="M30" s="5"/>
    </row>
    <row r="31" spans="4:13" x14ac:dyDescent="0.25">
      <c r="E31" t="s">
        <v>29</v>
      </c>
      <c r="F31" s="4">
        <v>0</v>
      </c>
      <c r="G31" s="22">
        <v>8.7300000000000003E-2</v>
      </c>
      <c r="L31" s="20"/>
    </row>
    <row r="32" spans="4:13" x14ac:dyDescent="0.25">
      <c r="E32" t="s">
        <v>30</v>
      </c>
      <c r="F32" s="4">
        <v>0</v>
      </c>
      <c r="G32" s="22">
        <v>0.1</v>
      </c>
    </row>
    <row r="33" spans="3:12" x14ac:dyDescent="0.25">
      <c r="E33" t="s">
        <v>9</v>
      </c>
      <c r="F33" s="5">
        <f>F11*G33</f>
        <v>156</v>
      </c>
      <c r="G33" s="2">
        <v>0.13</v>
      </c>
    </row>
    <row r="34" spans="3:12" ht="15.75" thickBot="1" x14ac:dyDescent="0.3">
      <c r="E34" t="s">
        <v>54</v>
      </c>
      <c r="F34" s="7">
        <f>F22-F25-F26-F24-F27-F28-F29-F30-F31-F32-F33</f>
        <v>-636</v>
      </c>
      <c r="L34" s="21"/>
    </row>
    <row r="35" spans="3:12" ht="30.75" thickTop="1" x14ac:dyDescent="0.25">
      <c r="F35" s="4"/>
      <c r="G35" s="33" t="s">
        <v>58</v>
      </c>
    </row>
    <row r="36" spans="3:12" x14ac:dyDescent="0.25">
      <c r="E36" t="s">
        <v>22</v>
      </c>
      <c r="F36" s="27">
        <v>0</v>
      </c>
      <c r="G36" s="31">
        <v>4</v>
      </c>
    </row>
    <row r="37" spans="3:12" ht="15.75" thickBot="1" x14ac:dyDescent="0.3">
      <c r="E37" t="s">
        <v>24</v>
      </c>
      <c r="F37" s="4">
        <f>100*F36</f>
        <v>0</v>
      </c>
      <c r="G37" s="32">
        <f>G36*100</f>
        <v>400</v>
      </c>
    </row>
    <row r="38" spans="3:12" ht="15.75" thickBot="1" x14ac:dyDescent="0.3">
      <c r="I38" s="28" t="s">
        <v>44</v>
      </c>
      <c r="J38" s="28" t="s">
        <v>45</v>
      </c>
      <c r="K38" s="28" t="s">
        <v>46</v>
      </c>
    </row>
    <row r="39" spans="3:12" ht="15.75" thickBot="1" x14ac:dyDescent="0.3">
      <c r="C39" s="29"/>
      <c r="E39" s="8" t="s">
        <v>12</v>
      </c>
      <c r="F39" s="9">
        <v>21</v>
      </c>
      <c r="G39" s="34">
        <v>39</v>
      </c>
      <c r="H39" s="18" t="s">
        <v>13</v>
      </c>
      <c r="I39" s="10">
        <v>0</v>
      </c>
      <c r="J39" s="10">
        <f>5*50</f>
        <v>250</v>
      </c>
      <c r="K39" s="11">
        <f>I39-J39</f>
        <v>-250</v>
      </c>
    </row>
    <row r="40" spans="3:12" x14ac:dyDescent="0.25">
      <c r="E40" t="s">
        <v>47</v>
      </c>
      <c r="F40" s="4">
        <f>IF(F39&lt;6,I39,IF(F39&lt;11,I40,IF(F39&lt;16,I41,IF(F39&lt;21,I42,IF(F39&lt;31,I43,IF(F39&lt;41,I44,IF(F39=41,I45,2050+(50*(F39-41)))))))))</f>
        <v>2500</v>
      </c>
      <c r="H40" s="12" t="s">
        <v>14</v>
      </c>
      <c r="I40" s="13">
        <v>1000</v>
      </c>
      <c r="J40" s="13">
        <f>10*50</f>
        <v>500</v>
      </c>
      <c r="K40" s="14">
        <f t="shared" ref="K40:K45" si="1">I40-J40</f>
        <v>500</v>
      </c>
    </row>
    <row r="41" spans="3:12" x14ac:dyDescent="0.25">
      <c r="E41" t="s">
        <v>48</v>
      </c>
      <c r="F41" s="4">
        <f>F39*50</f>
        <v>1050</v>
      </c>
      <c r="H41" s="12" t="s">
        <v>15</v>
      </c>
      <c r="I41" s="13">
        <v>1500</v>
      </c>
      <c r="J41" s="13">
        <f>15*50</f>
        <v>750</v>
      </c>
      <c r="K41" s="14">
        <f t="shared" si="1"/>
        <v>750</v>
      </c>
    </row>
    <row r="42" spans="3:12" x14ac:dyDescent="0.25">
      <c r="H42" s="12" t="s">
        <v>16</v>
      </c>
      <c r="I42" s="13">
        <v>2000</v>
      </c>
      <c r="J42" s="13">
        <f>20*50</f>
        <v>1000</v>
      </c>
      <c r="K42" s="14">
        <f t="shared" si="1"/>
        <v>1000</v>
      </c>
    </row>
    <row r="43" spans="3:12" x14ac:dyDescent="0.25">
      <c r="E43" t="s">
        <v>23</v>
      </c>
      <c r="H43" s="12" t="s">
        <v>17</v>
      </c>
      <c r="I43" s="13">
        <v>2500</v>
      </c>
      <c r="J43" s="13">
        <f>30*50</f>
        <v>1500</v>
      </c>
      <c r="K43" s="14">
        <f t="shared" si="1"/>
        <v>1000</v>
      </c>
    </row>
    <row r="44" spans="3:12" x14ac:dyDescent="0.25">
      <c r="E44" t="s">
        <v>25</v>
      </c>
      <c r="F44" s="4">
        <v>0</v>
      </c>
      <c r="H44" s="12" t="s">
        <v>18</v>
      </c>
      <c r="I44" s="13">
        <v>3000</v>
      </c>
      <c r="J44" s="13">
        <f>40*50</f>
        <v>2000</v>
      </c>
      <c r="K44" s="14">
        <f t="shared" si="1"/>
        <v>1000</v>
      </c>
    </row>
    <row r="45" spans="3:12" x14ac:dyDescent="0.25">
      <c r="H45" s="12" t="s">
        <v>19</v>
      </c>
      <c r="I45" s="13">
        <v>4100</v>
      </c>
      <c r="J45" s="13">
        <f>41*50</f>
        <v>2050</v>
      </c>
      <c r="K45" s="14">
        <f t="shared" si="1"/>
        <v>2050</v>
      </c>
    </row>
    <row r="46" spans="3:12" ht="15.75" thickBot="1" x14ac:dyDescent="0.3">
      <c r="H46" s="15"/>
      <c r="I46" s="16" t="s">
        <v>20</v>
      </c>
      <c r="J46" s="16" t="s">
        <v>21</v>
      </c>
      <c r="K46" s="17"/>
    </row>
    <row r="48" spans="3:12" x14ac:dyDescent="0.25">
      <c r="E48" t="s">
        <v>37</v>
      </c>
      <c r="F48" s="4">
        <v>0</v>
      </c>
    </row>
    <row r="49" spans="5:6" x14ac:dyDescent="0.25">
      <c r="E49" t="s">
        <v>51</v>
      </c>
      <c r="F49" s="4">
        <v>293.38</v>
      </c>
    </row>
    <row r="50" spans="5:6" x14ac:dyDescent="0.25">
      <c r="E50" t="s">
        <v>52</v>
      </c>
      <c r="F50" s="4">
        <v>0</v>
      </c>
    </row>
    <row r="51" spans="5:6" x14ac:dyDescent="0.25">
      <c r="E51" t="s">
        <v>53</v>
      </c>
      <c r="F51" s="4">
        <v>140</v>
      </c>
    </row>
    <row r="52" spans="5:6" ht="15.75" thickBot="1" x14ac:dyDescent="0.3">
      <c r="E52" t="s">
        <v>35</v>
      </c>
      <c r="F52" s="19">
        <f>F34+F37+F40-F41-F44-SUM(F48:F51)</f>
        <v>380.62</v>
      </c>
    </row>
    <row r="53" spans="5:6" ht="15.75" thickTop="1" x14ac:dyDescent="0.25"/>
    <row r="54" spans="5:6" x14ac:dyDescent="0.25">
      <c r="E54" t="s">
        <v>34</v>
      </c>
    </row>
    <row r="56" spans="5:6" ht="15.75" thickBot="1" x14ac:dyDescent="0.3">
      <c r="E56" t="s">
        <v>36</v>
      </c>
      <c r="F56" s="19">
        <f>F52-F54</f>
        <v>380.62</v>
      </c>
    </row>
    <row r="57" spans="5:6" ht="15.75" thickTop="1" x14ac:dyDescent="0.25"/>
    <row r="58" spans="5:6" x14ac:dyDescent="0.25">
      <c r="E58" t="s">
        <v>55</v>
      </c>
      <c r="F58" s="5">
        <f>O7</f>
        <v>-14250</v>
      </c>
    </row>
    <row r="59" spans="5:6" ht="15.75" thickBot="1" x14ac:dyDescent="0.3"/>
    <row r="60" spans="5:6" ht="15.75" thickBot="1" x14ac:dyDescent="0.3">
      <c r="E60" t="s">
        <v>56</v>
      </c>
      <c r="F60" s="24">
        <f>F56+F58</f>
        <v>-13869.38</v>
      </c>
    </row>
  </sheetData>
  <conditionalFormatting sqref="F6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2026 01</vt:lpstr>
      <vt:lpstr>Consultor CLT</vt:lpstr>
      <vt:lpstr>Consultor Contrato</vt:lpstr>
      <vt:lpstr>Captador CLT</vt:lpstr>
      <vt:lpstr>Captador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2026-02-25T13:54:32Z</dcterms:created>
  <dcterms:modified xsi:type="dcterms:W3CDTF">2026-03-13T20:38:30Z</dcterms:modified>
</cp:coreProperties>
</file>