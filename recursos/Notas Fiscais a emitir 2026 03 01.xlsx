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oinhos\Aluguel\"/>
    </mc:Choice>
  </mc:AlternateContent>
  <xr:revisionPtr revIDLastSave="0" documentId="8_{D4D9B7FB-33CE-40DE-B7C4-320F9713771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W - MOINHOS DE VENTO - Interme" sheetId="1" r:id="rId1"/>
  </sheets>
  <calcPr calcId="191029"/>
  <fileRecoveryPr repairLoad="1"/>
</workbook>
</file>

<file path=xl/calcChain.xml><?xml version="1.0" encoding="utf-8"?>
<calcChain xmlns="http://schemas.openxmlformats.org/spreadsheetml/2006/main">
  <c r="O3" i="1" l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P2" i="1"/>
  <c r="O2" i="1"/>
</calcChain>
</file>

<file path=xl/sharedStrings.xml><?xml version="1.0" encoding="utf-8"?>
<sst xmlns="http://schemas.openxmlformats.org/spreadsheetml/2006/main" count="338" uniqueCount="164">
  <si>
    <t>DATA VENCIMENTO</t>
  </si>
  <si>
    <t>NOME AGENCIA</t>
  </si>
  <si>
    <t>HISTORICO</t>
  </si>
  <si>
    <t>IMOVEL</t>
  </si>
  <si>
    <t>ENDEREÇO IMOVEL</t>
  </si>
  <si>
    <t>PROPRIETARIO</t>
  </si>
  <si>
    <t>PROPRIETARIO CPF CNPJ</t>
  </si>
  <si>
    <t>NUMERO TITULO</t>
  </si>
  <si>
    <t>SITUACAO TITULO</t>
  </si>
  <si>
    <t>STATUS TITULO</t>
  </si>
  <si>
    <t>TIPO</t>
  </si>
  <si>
    <t>VALOR PRORIETARIO</t>
  </si>
  <si>
    <t>FRANQUIA MOINHOS DE VENTO</t>
  </si>
  <si>
    <t>INTERMEDIAÇÃO FRANQUIA - FRANQUIA MOINHOS DE VENTO - 1/1</t>
  </si>
  <si>
    <t>PENDENTE</t>
  </si>
  <si>
    <t>A VENCER</t>
  </si>
  <si>
    <t>INTERMEDIAÇÃO</t>
  </si>
  <si>
    <t>31 de mar. de 2026</t>
  </si>
  <si>
    <t>RUA AZEVEDO SODRÉ 285 APTO 708 BOX 35 00-TORRE ÚNICA</t>
  </si>
  <si>
    <t>RESULT ADMINISTRACAO INCORPORACOES E PARTICIPACOES LTDA</t>
  </si>
  <si>
    <t>29.018.160/0001-40</t>
  </si>
  <si>
    <t>226862/01</t>
  </si>
  <si>
    <t>INTERMEDIAÇÃO FRANQUIA - FRANQUIA MOINHOS DE VENTO - 2/2</t>
  </si>
  <si>
    <t xml:space="preserve">RUA COMENDADOR RHEINGANTZ 282 APTO 303  </t>
  </si>
  <si>
    <t>CLAUDIO ROBERTO GUINDO DE CAMPOS VELHO</t>
  </si>
  <si>
    <t>414.270.330-72</t>
  </si>
  <si>
    <t>225980/01</t>
  </si>
  <si>
    <t>AGENCIAMENTO</t>
  </si>
  <si>
    <t>RUA MOURA AZEVEDO 146 APTO 3  00-TORRE ÚNICA</t>
  </si>
  <si>
    <t>LUIZ EDUARDO SEGER GARCIA LUFIEGO</t>
  </si>
  <si>
    <t>646.151.110-53</t>
  </si>
  <si>
    <t>227158/01</t>
  </si>
  <si>
    <t>RUA DONA EUGÊNIA 1256 APTO 32  00-TORRE ÚNICA</t>
  </si>
  <si>
    <t>LUCIANE DE DEOS FONTOURA</t>
  </si>
  <si>
    <t>018.393.690-60</t>
  </si>
  <si>
    <t>227173/01</t>
  </si>
  <si>
    <t>CAMILA DE DEOS FONTOURA</t>
  </si>
  <si>
    <t>022.872.910-67</t>
  </si>
  <si>
    <t>RUA PROFESSOR CRISTIANO FISCHER 818 APTO 506 BOX 31 00-TORRE ÚNICA</t>
  </si>
  <si>
    <t>CINTIA BRUM SIQUEIRA DOTTO</t>
  </si>
  <si>
    <t>801.482.550-00</t>
  </si>
  <si>
    <t>227245/01</t>
  </si>
  <si>
    <t>LUIZ FELIPE SEGER GARCIA LUFIEGO</t>
  </si>
  <si>
    <t>594.150.700-30</t>
  </si>
  <si>
    <t xml:space="preserve">AV  IPIRANGA 40 SALA 1006 C/BOX </t>
  </si>
  <si>
    <t>MAURO GILBERTO VIEIRA DE ROCHA</t>
  </si>
  <si>
    <t>063.133.530-72</t>
  </si>
  <si>
    <t>226425/01</t>
  </si>
  <si>
    <t>CLAUDIA SIQUEIRA LIMA MAGALHAES</t>
  </si>
  <si>
    <t>610.436.990-15</t>
  </si>
  <si>
    <t>MARIA LUCIA SIQUEIRA FIORIN</t>
  </si>
  <si>
    <t>273.036.160-04</t>
  </si>
  <si>
    <t>RUA ÂNGELO CRIVELLARO 449 APTO 402  00-TORRE ÚNICA</t>
  </si>
  <si>
    <t>FREDERICO JOSE REZENDE VIEIRA</t>
  </si>
  <si>
    <t>873.883.836-20</t>
  </si>
  <si>
    <t>227156/01</t>
  </si>
  <si>
    <t>AVENIDA BORGES DE MEDEIROS 2277 APTO 1908 BOX 104 03-C</t>
  </si>
  <si>
    <t>JORGE FERNANDO DE OLIVEIRA VIEIRA</t>
  </si>
  <si>
    <t>287.082.880-20</t>
  </si>
  <si>
    <t>227139/01</t>
  </si>
  <si>
    <t>AVENIDA BORGES DE MEDEIROS 2277 APTO 505 BOX 172 03-C</t>
  </si>
  <si>
    <t>GUSTAVO KONZEN</t>
  </si>
  <si>
    <t>008.196.950-33</t>
  </si>
  <si>
    <t>226607/01</t>
  </si>
  <si>
    <t>IVETE DE DEOS FONTOURA</t>
  </si>
  <si>
    <t>386.027.250-00</t>
  </si>
  <si>
    <t xml:space="preserve">RUA MOSTARDEIRO 488 APTO 306  </t>
  </si>
  <si>
    <t>V CHEUICHE ADMINISTRACAO E LOCACOES DE IMOVEIS LTDA</t>
  </si>
  <si>
    <t>94.266.376/0001-96</t>
  </si>
  <si>
    <t>226631/01</t>
  </si>
  <si>
    <t xml:space="preserve">RUA PADRE TODESCO 927 APTO 802 BOX 83 </t>
  </si>
  <si>
    <t>PATRICIA BITTENCOURT HINRICHSEN</t>
  </si>
  <si>
    <t>677.316.860-00</t>
  </si>
  <si>
    <t>227216/01</t>
  </si>
  <si>
    <t xml:space="preserve">AVENIDA PADRE CACIQUE 2893 SALA 2112  </t>
  </si>
  <si>
    <t>RODRIGO HERNAN SAN JUAN VOLANTE</t>
  </si>
  <si>
    <t>841.702.200-72</t>
  </si>
  <si>
    <t>225391/01</t>
  </si>
  <si>
    <t>28 de fev. de 2026</t>
  </si>
  <si>
    <t>INTERMEDIAÇÃO FRANQUIA - FRANQUIA MOINHOS DE VENTO - 1/2</t>
  </si>
  <si>
    <t>226630/01</t>
  </si>
  <si>
    <t>VENCIDO</t>
  </si>
  <si>
    <t>31 de dez. de 2025</t>
  </si>
  <si>
    <t xml:space="preserve">AV  IPIRANGA 40 SALA 1008 T.B </t>
  </si>
  <si>
    <t>JOAO CARLOS RODRIGUES KNAACK</t>
  </si>
  <si>
    <t>166.994.400-04</t>
  </si>
  <si>
    <t>224700/01</t>
  </si>
  <si>
    <t xml:space="preserve">RUA IRMÃO NORBERTO FRANCISCO RAUCH 700 APTO 1621 BOX: 374 </t>
  </si>
  <si>
    <t>RACHEL RAMOS DO NASCIMENTO SACCHI</t>
  </si>
  <si>
    <t>010.171.760-19</t>
  </si>
  <si>
    <t>224034/01</t>
  </si>
  <si>
    <t>INTERMEDIAÇÃO FRANQUIA - FRANQUIA MOINHOS DE VENTO - 1/3</t>
  </si>
  <si>
    <t xml:space="preserve">RUA ANDRADAS, DOS 487 APTO 704  </t>
  </si>
  <si>
    <t>RAIMUNDO PAULA DINIZ</t>
  </si>
  <si>
    <t>107.645.340-68</t>
  </si>
  <si>
    <t>223709/01</t>
  </si>
  <si>
    <t>RAFAEL SACCHI</t>
  </si>
  <si>
    <t>835.062.090-00</t>
  </si>
  <si>
    <t xml:space="preserve">AV  DOUTOR CARLOS BARBOSA 480 LJ   </t>
  </si>
  <si>
    <t>SABRINA MARTINS CARVALHO</t>
  </si>
  <si>
    <t>933.783.190-20</t>
  </si>
  <si>
    <t>225050/01</t>
  </si>
  <si>
    <t xml:space="preserve">RUA TENENTE-CORONEL RUA TENENTE-CORONEL FABRÍCIO PILAR 311 APTO 901  </t>
  </si>
  <si>
    <t>LUCIANA MEURER DE BORBA</t>
  </si>
  <si>
    <t>009.915.190-19</t>
  </si>
  <si>
    <t>224996/01</t>
  </si>
  <si>
    <t>WILLIAM MARTIM DRESCH</t>
  </si>
  <si>
    <t>989.891.200-63</t>
  </si>
  <si>
    <t>30 de nov. de 2025</t>
  </si>
  <si>
    <t xml:space="preserve">AVENIDA GETÚLIO VARGAS 298 APTO 32  </t>
  </si>
  <si>
    <t>ESPACO URBANO EMPREENDIMENTOS IMOBILIARIOS LTDA</t>
  </si>
  <si>
    <t>07.981.753/0001-74</t>
  </si>
  <si>
    <t>227042/01</t>
  </si>
  <si>
    <t>30 de nov. de 2023</t>
  </si>
  <si>
    <t xml:space="preserve">RUA ATANÁSIO BELMONTE 51 APTO 208 BOX 27 </t>
  </si>
  <si>
    <t>ESTELA DORIS KURTH</t>
  </si>
  <si>
    <t>551.293.749-91</t>
  </si>
  <si>
    <t>184731/01</t>
  </si>
  <si>
    <t>90430-001</t>
  </si>
  <si>
    <t>90160-090</t>
  </si>
  <si>
    <t>90450-040</t>
  </si>
  <si>
    <t>90880-464</t>
  </si>
  <si>
    <t>91450-147</t>
  </si>
  <si>
    <t>90020-001</t>
  </si>
  <si>
    <t>90150-000</t>
  </si>
  <si>
    <t>91340-140</t>
  </si>
  <si>
    <t>90450-020</t>
  </si>
  <si>
    <t>90230-150</t>
  </si>
  <si>
    <t>90630-150</t>
  </si>
  <si>
    <t>91410-000</t>
  </si>
  <si>
    <t>91410-080</t>
  </si>
  <si>
    <t>90110-150</t>
  </si>
  <si>
    <t>91530-360</t>
  </si>
  <si>
    <t>90810-240</t>
  </si>
  <si>
    <t>90520-550</t>
  </si>
  <si>
    <t>NF</t>
  </si>
  <si>
    <t>CEP</t>
  </si>
  <si>
    <t>430 - 4</t>
  </si>
  <si>
    <t>432 - 6</t>
  </si>
  <si>
    <t>433 - 7</t>
  </si>
  <si>
    <t>435 - 9</t>
  </si>
  <si>
    <t>436 - 10</t>
  </si>
  <si>
    <t>437 - 11</t>
  </si>
  <si>
    <t>438 - 12</t>
  </si>
  <si>
    <t>439 - 13</t>
  </si>
  <si>
    <t>440 - 14</t>
  </si>
  <si>
    <t>441 - 15</t>
  </si>
  <si>
    <t>442 - 16</t>
  </si>
  <si>
    <t>443 - 17</t>
  </si>
  <si>
    <t>444 - 18</t>
  </si>
  <si>
    <t>445 - 19</t>
  </si>
  <si>
    <t>446 - 20</t>
  </si>
  <si>
    <t>447 - 21</t>
  </si>
  <si>
    <t>448 - 22</t>
  </si>
  <si>
    <t>449 - 23</t>
  </si>
  <si>
    <t>450 - 24</t>
  </si>
  <si>
    <t>451 - 25</t>
  </si>
  <si>
    <t>452 - 26</t>
  </si>
  <si>
    <t>453 - 27</t>
  </si>
  <si>
    <t>454 - 28</t>
  </si>
  <si>
    <t>455 - 29</t>
  </si>
  <si>
    <t>456 - 30</t>
  </si>
  <si>
    <t>457 - 31</t>
  </si>
  <si>
    <t>458 - 32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</si>
</sst>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3" fontId="0" fillId="0" borderId="0" xfId="1" applyFont="1"/>
    <xf numFmtId="0" fontId="18" fillId="33" borderId="0" xfId="0" applyFont="1" applyFill="1"/>
    <xf numFmtId="0" fontId="1" fillId="0" borderId="0" xfId="0" applyFont="1"/>
    <xf numFmtId="0" fontId="0" fillId="33" borderId="0" xfId="0" applyFill="1"/>
    <xf numFmtId="0" fontId="0" fillId="34" borderId="0" xfId="0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F1" zoomScale="90" zoomScaleNormal="90" workbookViewId="0">
      <selection activeCell="O7" sqref="O7"/>
    </sheetView>
  </sheetViews>
  <sheetFormatPr defaultRowHeight="15" x14ac:dyDescent="0.25"/>
  <cols>
    <col min="1" max="1" width="18.5703125" bestFit="1" customWidth="1"/>
    <col min="2" max="2" width="29.7109375" hidden="1" customWidth="1"/>
    <col min="3" max="3" width="61.42578125" bestFit="1" customWidth="1"/>
    <col min="4" max="4" width="10" bestFit="1" customWidth="1"/>
    <col min="5" max="5" width="73" bestFit="1" customWidth="1"/>
    <col min="6" max="6" width="60.85546875" customWidth="1"/>
    <col min="7" max="7" width="23" customWidth="1"/>
    <col min="8" max="8" width="15.7109375" customWidth="1"/>
    <col min="9" max="9" width="16.7109375" customWidth="1"/>
    <col min="10" max="10" width="14.28515625" customWidth="1"/>
    <col min="11" max="11" width="16" customWidth="1"/>
    <col min="12" max="12" width="19.5703125" style="1" customWidth="1"/>
    <col min="13" max="13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136</v>
      </c>
      <c r="N1" t="s">
        <v>135</v>
      </c>
    </row>
    <row r="2" spans="1:16" x14ac:dyDescent="0.25">
      <c r="A2" t="s">
        <v>17</v>
      </c>
      <c r="B2" t="s">
        <v>12</v>
      </c>
      <c r="C2" t="s">
        <v>13</v>
      </c>
      <c r="D2" s="5">
        <v>81137055</v>
      </c>
      <c r="E2" t="s">
        <v>18</v>
      </c>
      <c r="F2" t="s">
        <v>19</v>
      </c>
      <c r="G2" t="s">
        <v>20</v>
      </c>
      <c r="H2" t="s">
        <v>21</v>
      </c>
      <c r="I2" t="s">
        <v>14</v>
      </c>
      <c r="J2" t="s">
        <v>15</v>
      </c>
      <c r="K2" t="s">
        <v>16</v>
      </c>
      <c r="L2" s="1">
        <v>4500</v>
      </c>
      <c r="M2" t="s">
        <v>125</v>
      </c>
      <c r="N2" t="s">
        <v>138</v>
      </c>
      <c r="O2" s="2" t="str">
        <f>CONCATENATE("NFSe - ",N2," 2026 - Contrato ",D2," - ",E2,"")</f>
        <v>NFSe - 432 - 6 2026 - Contrato 81137055 - RUA AZEVEDO SODRÉ 285 APTO 708 BOX 35 00-TORRE ÚNICA</v>
      </c>
      <c r="P2" s="3" t="str">
        <f>CONCATENATE("Intermediação no contrato da locação ",D2," - ",E2)</f>
        <v>Intermediação no contrato da locação 81137055 - RUA AZEVEDO SODRÉ 285 APTO 708 BOX 35 00-TORRE ÚNICA</v>
      </c>
    </row>
    <row r="3" spans="1:16" x14ac:dyDescent="0.25">
      <c r="A3" t="s">
        <v>17</v>
      </c>
      <c r="B3" t="s">
        <v>12</v>
      </c>
      <c r="C3" t="s">
        <v>22</v>
      </c>
      <c r="D3">
        <v>81136714</v>
      </c>
      <c r="E3" t="s">
        <v>23</v>
      </c>
      <c r="F3" t="s">
        <v>24</v>
      </c>
      <c r="G3" t="s">
        <v>25</v>
      </c>
      <c r="H3" t="s">
        <v>26</v>
      </c>
      <c r="I3" t="s">
        <v>14</v>
      </c>
      <c r="J3" t="s">
        <v>15</v>
      </c>
      <c r="K3" t="s">
        <v>27</v>
      </c>
      <c r="L3" s="1">
        <v>315</v>
      </c>
      <c r="M3" t="s">
        <v>126</v>
      </c>
      <c r="N3" t="s">
        <v>139</v>
      </c>
      <c r="O3" s="2" t="str">
        <f t="shared" ref="O3:O28" si="0">CONCATENATE("NFSe - ",N3," 2026 - Contrato ",D3," - ",E3,"")</f>
        <v xml:space="preserve">NFSe - 433 - 7 2026 - Contrato 81136714 - RUA COMENDADOR RHEINGANTZ 282 APTO 303  </v>
      </c>
      <c r="P3" s="3" t="str">
        <f t="shared" ref="P3:P28" si="1">CONCATENATE("Intermediação no contrato da locação ",D3," - ",E3)</f>
        <v xml:space="preserve">Intermediação no contrato da locação 81136714 - RUA COMENDADOR RHEINGANTZ 282 APTO 303  </v>
      </c>
    </row>
    <row r="4" spans="1:16" x14ac:dyDescent="0.25">
      <c r="A4" t="s">
        <v>17</v>
      </c>
      <c r="B4" t="s">
        <v>12</v>
      </c>
      <c r="C4" t="s">
        <v>13</v>
      </c>
      <c r="D4" s="5">
        <v>81137077</v>
      </c>
      <c r="E4" t="s">
        <v>28</v>
      </c>
      <c r="F4" t="s">
        <v>29</v>
      </c>
      <c r="G4" t="s">
        <v>30</v>
      </c>
      <c r="H4" t="s">
        <v>31</v>
      </c>
      <c r="I4" t="s">
        <v>14</v>
      </c>
      <c r="J4" t="s">
        <v>15</v>
      </c>
      <c r="K4" t="s">
        <v>27</v>
      </c>
      <c r="L4" s="1">
        <v>165</v>
      </c>
      <c r="M4" t="s">
        <v>127</v>
      </c>
      <c r="N4" t="s">
        <v>140</v>
      </c>
      <c r="O4" s="2" t="str">
        <f t="shared" si="0"/>
        <v>NFSe - 435 - 9 2026 - Contrato 81137077 - RUA MOURA AZEVEDO 146 APTO 3  00-TORRE ÚNICA</v>
      </c>
      <c r="P4" s="3" t="str">
        <f t="shared" si="1"/>
        <v>Intermediação no contrato da locação 81137077 - RUA MOURA AZEVEDO 146 APTO 3  00-TORRE ÚNICA</v>
      </c>
    </row>
    <row r="5" spans="1:16" x14ac:dyDescent="0.25">
      <c r="A5" t="s">
        <v>17</v>
      </c>
      <c r="B5" t="s">
        <v>12</v>
      </c>
      <c r="C5" t="s">
        <v>13</v>
      </c>
      <c r="D5" s="5">
        <v>81137039</v>
      </c>
      <c r="E5" t="s">
        <v>32</v>
      </c>
      <c r="F5" t="s">
        <v>33</v>
      </c>
      <c r="G5" t="s">
        <v>34</v>
      </c>
      <c r="H5" t="s">
        <v>35</v>
      </c>
      <c r="I5" t="s">
        <v>14</v>
      </c>
      <c r="J5" t="s">
        <v>15</v>
      </c>
      <c r="K5" t="s">
        <v>27</v>
      </c>
      <c r="L5" s="1">
        <v>229.98</v>
      </c>
      <c r="M5" t="s">
        <v>128</v>
      </c>
      <c r="N5" t="s">
        <v>141</v>
      </c>
      <c r="O5" s="2" t="str">
        <f t="shared" si="0"/>
        <v>NFSe - 436 - 10 2026 - Contrato 81137039 - RUA DONA EUGÊNIA 1256 APTO 32  00-TORRE ÚNICA</v>
      </c>
      <c r="P5" s="3" t="str">
        <f t="shared" si="1"/>
        <v>Intermediação no contrato da locação 81137039 - RUA DONA EUGÊNIA 1256 APTO 32  00-TORRE ÚNICA</v>
      </c>
    </row>
    <row r="6" spans="1:16" x14ac:dyDescent="0.25">
      <c r="A6" t="s">
        <v>17</v>
      </c>
      <c r="B6" t="s">
        <v>12</v>
      </c>
      <c r="C6" t="s">
        <v>13</v>
      </c>
      <c r="D6" s="5">
        <v>81137039</v>
      </c>
      <c r="E6" t="s">
        <v>32</v>
      </c>
      <c r="F6" t="s">
        <v>36</v>
      </c>
      <c r="G6" t="s">
        <v>37</v>
      </c>
      <c r="H6" t="s">
        <v>35</v>
      </c>
      <c r="I6" t="s">
        <v>14</v>
      </c>
      <c r="J6" t="s">
        <v>15</v>
      </c>
      <c r="K6" t="s">
        <v>27</v>
      </c>
      <c r="L6" s="1">
        <v>229.98</v>
      </c>
      <c r="M6" t="s">
        <v>128</v>
      </c>
      <c r="N6" t="s">
        <v>142</v>
      </c>
      <c r="O6" s="2" t="str">
        <f t="shared" si="0"/>
        <v>NFSe - 437 - 11 2026 - Contrato 81137039 - RUA DONA EUGÊNIA 1256 APTO 32  00-TORRE ÚNICA</v>
      </c>
      <c r="P6" s="3" t="str">
        <f t="shared" si="1"/>
        <v>Intermediação no contrato da locação 81137039 - RUA DONA EUGÊNIA 1256 APTO 32  00-TORRE ÚNICA</v>
      </c>
    </row>
    <row r="7" spans="1:16" x14ac:dyDescent="0.25">
      <c r="A7" t="s">
        <v>17</v>
      </c>
      <c r="B7" t="s">
        <v>12</v>
      </c>
      <c r="C7" t="s">
        <v>13</v>
      </c>
      <c r="D7">
        <v>81137366</v>
      </c>
      <c r="E7" t="s">
        <v>38</v>
      </c>
      <c r="F7" t="s">
        <v>39</v>
      </c>
      <c r="G7" s="4" t="s">
        <v>40</v>
      </c>
      <c r="H7" t="s">
        <v>41</v>
      </c>
      <c r="I7" t="s">
        <v>14</v>
      </c>
      <c r="J7" t="s">
        <v>15</v>
      </c>
      <c r="K7" t="s">
        <v>16</v>
      </c>
      <c r="L7" s="1">
        <v>641.6</v>
      </c>
      <c r="M7" t="s">
        <v>129</v>
      </c>
      <c r="N7" t="s">
        <v>163</v>
      </c>
      <c r="O7" s="2" t="str">
        <f t="shared" si="0"/>
        <v>NFSe - 458 - 32 2026 - Contrato 81137366 - RUA PROFESSOR CRISTIANO FISCHER 818 APTO 506 BOX 31 00-TORRE ÚNICA</v>
      </c>
      <c r="P7" s="3" t="str">
        <f t="shared" si="1"/>
        <v>Intermediação no contrato da locação 81137366 - RUA PROFESSOR CRISTIANO FISCHER 818 APTO 506 BOX 31 00-TORRE ÚNICA</v>
      </c>
    </row>
    <row r="8" spans="1:16" x14ac:dyDescent="0.25">
      <c r="A8" t="s">
        <v>17</v>
      </c>
      <c r="B8" t="s">
        <v>12</v>
      </c>
      <c r="C8" t="s">
        <v>13</v>
      </c>
      <c r="D8" s="5">
        <v>81137077</v>
      </c>
      <c r="E8" t="s">
        <v>28</v>
      </c>
      <c r="F8" t="s">
        <v>42</v>
      </c>
      <c r="G8" t="s">
        <v>43</v>
      </c>
      <c r="H8" t="s">
        <v>31</v>
      </c>
      <c r="I8" t="s">
        <v>14</v>
      </c>
      <c r="J8" t="s">
        <v>15</v>
      </c>
      <c r="K8" t="s">
        <v>27</v>
      </c>
      <c r="L8" s="1">
        <v>165</v>
      </c>
      <c r="M8" t="s">
        <v>127</v>
      </c>
      <c r="N8" t="s">
        <v>143</v>
      </c>
      <c r="O8" s="2" t="str">
        <f t="shared" si="0"/>
        <v>NFSe - 438 - 12 2026 - Contrato 81137077 - RUA MOURA AZEVEDO 146 APTO 3  00-TORRE ÚNICA</v>
      </c>
      <c r="P8" s="3" t="str">
        <f t="shared" si="1"/>
        <v>Intermediação no contrato da locação 81137077 - RUA MOURA AZEVEDO 146 APTO 3  00-TORRE ÚNICA</v>
      </c>
    </row>
    <row r="9" spans="1:16" x14ac:dyDescent="0.25">
      <c r="A9" t="s">
        <v>17</v>
      </c>
      <c r="B9" t="s">
        <v>12</v>
      </c>
      <c r="C9" t="s">
        <v>13</v>
      </c>
      <c r="D9" s="5">
        <v>81136809</v>
      </c>
      <c r="E9" t="s">
        <v>44</v>
      </c>
      <c r="F9" t="s">
        <v>45</v>
      </c>
      <c r="G9" t="s">
        <v>46</v>
      </c>
      <c r="H9" t="s">
        <v>47</v>
      </c>
      <c r="I9" t="s">
        <v>14</v>
      </c>
      <c r="J9" t="s">
        <v>15</v>
      </c>
      <c r="K9" t="s">
        <v>27</v>
      </c>
      <c r="L9" s="1">
        <v>525</v>
      </c>
      <c r="M9" t="s">
        <v>119</v>
      </c>
      <c r="N9" t="s">
        <v>144</v>
      </c>
      <c r="O9" s="2" t="str">
        <f t="shared" si="0"/>
        <v xml:space="preserve">NFSe - 439 - 13 2026 - Contrato 81136809 - AV  IPIRANGA 40 SALA 1006 C/BOX </v>
      </c>
      <c r="P9" s="3" t="str">
        <f t="shared" si="1"/>
        <v xml:space="preserve">Intermediação no contrato da locação 81136809 - AV  IPIRANGA 40 SALA 1006 C/BOX </v>
      </c>
    </row>
    <row r="10" spans="1:16" x14ac:dyDescent="0.25">
      <c r="A10" t="s">
        <v>17</v>
      </c>
      <c r="B10" t="s">
        <v>12</v>
      </c>
      <c r="C10" t="s">
        <v>13</v>
      </c>
      <c r="D10">
        <v>81137366</v>
      </c>
      <c r="E10" t="s">
        <v>38</v>
      </c>
      <c r="F10" t="s">
        <v>48</v>
      </c>
      <c r="G10" t="s">
        <v>49</v>
      </c>
      <c r="H10" t="s">
        <v>41</v>
      </c>
      <c r="I10" t="s">
        <v>14</v>
      </c>
      <c r="J10" t="s">
        <v>15</v>
      </c>
      <c r="K10" t="s">
        <v>16</v>
      </c>
      <c r="L10" s="1">
        <v>641.6</v>
      </c>
      <c r="M10" t="s">
        <v>129</v>
      </c>
      <c r="N10" t="s">
        <v>145</v>
      </c>
      <c r="O10" s="2" t="str">
        <f t="shared" si="0"/>
        <v>NFSe - 440 - 14 2026 - Contrato 81137366 - RUA PROFESSOR CRISTIANO FISCHER 818 APTO 506 BOX 31 00-TORRE ÚNICA</v>
      </c>
      <c r="P10" s="3" t="str">
        <f t="shared" si="1"/>
        <v>Intermediação no contrato da locação 81137366 - RUA PROFESSOR CRISTIANO FISCHER 818 APTO 506 BOX 31 00-TORRE ÚNICA</v>
      </c>
    </row>
    <row r="11" spans="1:16" x14ac:dyDescent="0.25">
      <c r="A11" t="s">
        <v>17</v>
      </c>
      <c r="B11" t="s">
        <v>12</v>
      </c>
      <c r="C11" t="s">
        <v>13</v>
      </c>
      <c r="D11">
        <v>81137366</v>
      </c>
      <c r="E11" t="s">
        <v>38</v>
      </c>
      <c r="F11" t="s">
        <v>50</v>
      </c>
      <c r="G11" t="s">
        <v>51</v>
      </c>
      <c r="H11" t="s">
        <v>41</v>
      </c>
      <c r="I11" t="s">
        <v>14</v>
      </c>
      <c r="J11" t="s">
        <v>15</v>
      </c>
      <c r="K11" t="s">
        <v>16</v>
      </c>
      <c r="L11" s="1">
        <v>641.79999999999995</v>
      </c>
      <c r="M11" t="s">
        <v>129</v>
      </c>
      <c r="N11" t="s">
        <v>146</v>
      </c>
      <c r="O11" s="2" t="str">
        <f t="shared" si="0"/>
        <v>NFSe - 441 - 15 2026 - Contrato 81137366 - RUA PROFESSOR CRISTIANO FISCHER 818 APTO 506 BOX 31 00-TORRE ÚNICA</v>
      </c>
      <c r="P11" s="3" t="str">
        <f t="shared" si="1"/>
        <v>Intermediação no contrato da locação 81137366 - RUA PROFESSOR CRISTIANO FISCHER 818 APTO 506 BOX 31 00-TORRE ÚNICA</v>
      </c>
    </row>
    <row r="12" spans="1:16" x14ac:dyDescent="0.25">
      <c r="A12" t="s">
        <v>17</v>
      </c>
      <c r="B12" t="s">
        <v>12</v>
      </c>
      <c r="C12" t="s">
        <v>13</v>
      </c>
      <c r="D12" s="5">
        <v>81131537</v>
      </c>
      <c r="E12" t="s">
        <v>52</v>
      </c>
      <c r="F12" t="s">
        <v>53</v>
      </c>
      <c r="G12" t="s">
        <v>54</v>
      </c>
      <c r="H12" t="s">
        <v>55</v>
      </c>
      <c r="I12" t="s">
        <v>14</v>
      </c>
      <c r="J12" t="s">
        <v>15</v>
      </c>
      <c r="K12" t="s">
        <v>16</v>
      </c>
      <c r="L12" s="1">
        <v>1330</v>
      </c>
      <c r="M12" t="s">
        <v>130</v>
      </c>
      <c r="N12" t="s">
        <v>147</v>
      </c>
      <c r="O12" s="2" t="str">
        <f t="shared" si="0"/>
        <v>NFSe - 442 - 16 2026 - Contrato 81131537 - RUA ÂNGELO CRIVELLARO 449 APTO 402  00-TORRE ÚNICA</v>
      </c>
      <c r="P12" s="3" t="str">
        <f t="shared" si="1"/>
        <v>Intermediação no contrato da locação 81131537 - RUA ÂNGELO CRIVELLARO 449 APTO 402  00-TORRE ÚNICA</v>
      </c>
    </row>
    <row r="13" spans="1:16" x14ac:dyDescent="0.25">
      <c r="A13" t="s">
        <v>17</v>
      </c>
      <c r="B13" t="s">
        <v>12</v>
      </c>
      <c r="C13" t="s">
        <v>13</v>
      </c>
      <c r="D13" s="5">
        <v>81137104</v>
      </c>
      <c r="E13" t="s">
        <v>56</v>
      </c>
      <c r="F13" t="s">
        <v>57</v>
      </c>
      <c r="G13" t="s">
        <v>58</v>
      </c>
      <c r="H13" t="s">
        <v>59</v>
      </c>
      <c r="I13" t="s">
        <v>14</v>
      </c>
      <c r="J13" t="s">
        <v>15</v>
      </c>
      <c r="K13" t="s">
        <v>27</v>
      </c>
      <c r="L13" s="1">
        <v>900</v>
      </c>
      <c r="M13" t="s">
        <v>131</v>
      </c>
      <c r="N13" t="s">
        <v>148</v>
      </c>
      <c r="O13" s="2" t="str">
        <f t="shared" si="0"/>
        <v>NFSe - 443 - 17 2026 - Contrato 81137104 - AVENIDA BORGES DE MEDEIROS 2277 APTO 1908 BOX 104 03-C</v>
      </c>
      <c r="P13" s="3" t="str">
        <f t="shared" si="1"/>
        <v>Intermediação no contrato da locação 81137104 - AVENIDA BORGES DE MEDEIROS 2277 APTO 1908 BOX 104 03-C</v>
      </c>
    </row>
    <row r="14" spans="1:16" x14ac:dyDescent="0.25">
      <c r="A14" t="s">
        <v>17</v>
      </c>
      <c r="B14" t="s">
        <v>12</v>
      </c>
      <c r="C14" t="s">
        <v>13</v>
      </c>
      <c r="D14" s="5">
        <v>81137003</v>
      </c>
      <c r="E14" t="s">
        <v>60</v>
      </c>
      <c r="F14" t="s">
        <v>61</v>
      </c>
      <c r="G14" t="s">
        <v>62</v>
      </c>
      <c r="H14" t="s">
        <v>63</v>
      </c>
      <c r="I14" t="s">
        <v>14</v>
      </c>
      <c r="J14" t="s">
        <v>15</v>
      </c>
      <c r="K14" t="s">
        <v>27</v>
      </c>
      <c r="L14" s="1">
        <v>930</v>
      </c>
      <c r="M14" t="s">
        <v>131</v>
      </c>
      <c r="N14" t="s">
        <v>149</v>
      </c>
      <c r="O14" s="2" t="str">
        <f t="shared" si="0"/>
        <v>NFSe - 444 - 18 2026 - Contrato 81137003 - AVENIDA BORGES DE MEDEIROS 2277 APTO 505 BOX 172 03-C</v>
      </c>
      <c r="P14" s="3" t="str">
        <f t="shared" si="1"/>
        <v>Intermediação no contrato da locação 81137003 - AVENIDA BORGES DE MEDEIROS 2277 APTO 505 BOX 172 03-C</v>
      </c>
    </row>
    <row r="15" spans="1:16" x14ac:dyDescent="0.25">
      <c r="A15" t="s">
        <v>17</v>
      </c>
      <c r="B15" t="s">
        <v>12</v>
      </c>
      <c r="C15" t="s">
        <v>13</v>
      </c>
      <c r="D15" s="5">
        <v>81137039</v>
      </c>
      <c r="E15" t="s">
        <v>32</v>
      </c>
      <c r="F15" t="s">
        <v>64</v>
      </c>
      <c r="G15" t="s">
        <v>65</v>
      </c>
      <c r="H15" t="s">
        <v>35</v>
      </c>
      <c r="I15" t="s">
        <v>14</v>
      </c>
      <c r="J15" t="s">
        <v>15</v>
      </c>
      <c r="K15" t="s">
        <v>27</v>
      </c>
      <c r="L15" s="1">
        <v>230.05</v>
      </c>
      <c r="M15" t="s">
        <v>128</v>
      </c>
      <c r="N15" t="s">
        <v>150</v>
      </c>
      <c r="O15" s="2" t="str">
        <f t="shared" si="0"/>
        <v>NFSe - 445 - 19 2026 - Contrato 81137039 - RUA DONA EUGÊNIA 1256 APTO 32  00-TORRE ÚNICA</v>
      </c>
      <c r="P15" s="3" t="str">
        <f t="shared" si="1"/>
        <v>Intermediação no contrato da locação 81137039 - RUA DONA EUGÊNIA 1256 APTO 32  00-TORRE ÚNICA</v>
      </c>
    </row>
    <row r="16" spans="1:16" x14ac:dyDescent="0.25">
      <c r="A16" t="s">
        <v>17</v>
      </c>
      <c r="B16" t="s">
        <v>12</v>
      </c>
      <c r="C16" t="s">
        <v>22</v>
      </c>
      <c r="D16" s="5">
        <v>81136406</v>
      </c>
      <c r="E16" t="s">
        <v>66</v>
      </c>
      <c r="F16" t="s">
        <v>67</v>
      </c>
      <c r="G16" t="s">
        <v>68</v>
      </c>
      <c r="H16" t="s">
        <v>69</v>
      </c>
      <c r="I16" t="s">
        <v>14</v>
      </c>
      <c r="J16" t="s">
        <v>15</v>
      </c>
      <c r="K16" t="s">
        <v>27</v>
      </c>
      <c r="L16" s="1">
        <v>397.5</v>
      </c>
      <c r="M16" t="s">
        <v>118</v>
      </c>
      <c r="N16" t="s">
        <v>151</v>
      </c>
      <c r="O16" s="2" t="str">
        <f t="shared" si="0"/>
        <v xml:space="preserve">NFSe - 446 - 20 2026 - Contrato 81136406 - RUA MOSTARDEIRO 488 APTO 306  </v>
      </c>
      <c r="P16" s="3" t="str">
        <f t="shared" si="1"/>
        <v xml:space="preserve">Intermediação no contrato da locação 81136406 - RUA MOSTARDEIRO 488 APTO 306  </v>
      </c>
    </row>
    <row r="17" spans="1:16" x14ac:dyDescent="0.25">
      <c r="A17" t="s">
        <v>17</v>
      </c>
      <c r="B17" t="s">
        <v>12</v>
      </c>
      <c r="C17" t="s">
        <v>13</v>
      </c>
      <c r="D17">
        <v>81125564</v>
      </c>
      <c r="E17" t="s">
        <v>70</v>
      </c>
      <c r="F17" t="s">
        <v>71</v>
      </c>
      <c r="G17" t="s">
        <v>72</v>
      </c>
      <c r="H17" t="s">
        <v>73</v>
      </c>
      <c r="I17" t="s">
        <v>14</v>
      </c>
      <c r="J17" t="s">
        <v>15</v>
      </c>
      <c r="K17" t="s">
        <v>16</v>
      </c>
      <c r="L17" s="1">
        <v>1680</v>
      </c>
      <c r="M17" t="s">
        <v>132</v>
      </c>
      <c r="N17" t="s">
        <v>152</v>
      </c>
      <c r="O17" s="2" t="str">
        <f t="shared" si="0"/>
        <v xml:space="preserve">NFSe - 447 - 21 2026 - Contrato 81125564 - RUA PADRE TODESCO 927 APTO 802 BOX 83 </v>
      </c>
      <c r="P17" s="3" t="str">
        <f t="shared" si="1"/>
        <v xml:space="preserve">Intermediação no contrato da locação 81125564 - RUA PADRE TODESCO 927 APTO 802 BOX 83 </v>
      </c>
    </row>
    <row r="18" spans="1:16" x14ac:dyDescent="0.25">
      <c r="A18" t="s">
        <v>17</v>
      </c>
      <c r="B18" t="s">
        <v>12</v>
      </c>
      <c r="C18" t="s">
        <v>22</v>
      </c>
      <c r="D18">
        <v>81136595</v>
      </c>
      <c r="E18" t="s">
        <v>74</v>
      </c>
      <c r="F18" t="s">
        <v>75</v>
      </c>
      <c r="G18" t="s">
        <v>76</v>
      </c>
      <c r="H18" t="s">
        <v>77</v>
      </c>
      <c r="I18" t="s">
        <v>14</v>
      </c>
      <c r="J18" t="s">
        <v>15</v>
      </c>
      <c r="K18" t="s">
        <v>27</v>
      </c>
      <c r="L18" s="1">
        <v>330</v>
      </c>
      <c r="M18" t="s">
        <v>133</v>
      </c>
      <c r="N18" t="s">
        <v>153</v>
      </c>
      <c r="O18" s="2" t="str">
        <f t="shared" si="0"/>
        <v xml:space="preserve">NFSe - 448 - 22 2026 - Contrato 81136595 - AVENIDA PADRE CACIQUE 2893 SALA 2112  </v>
      </c>
      <c r="P18" s="3" t="str">
        <f t="shared" si="1"/>
        <v xml:space="preserve">Intermediação no contrato da locação 81136595 - AVENIDA PADRE CACIQUE 2893 SALA 2112  </v>
      </c>
    </row>
    <row r="19" spans="1:16" x14ac:dyDescent="0.25">
      <c r="A19" t="s">
        <v>78</v>
      </c>
      <c r="B19" t="s">
        <v>12</v>
      </c>
      <c r="C19" t="s">
        <v>79</v>
      </c>
      <c r="D19" s="5">
        <v>81136406</v>
      </c>
      <c r="E19" t="s">
        <v>66</v>
      </c>
      <c r="F19" t="s">
        <v>67</v>
      </c>
      <c r="G19" t="s">
        <v>68</v>
      </c>
      <c r="H19" t="s">
        <v>80</v>
      </c>
      <c r="I19" t="s">
        <v>14</v>
      </c>
      <c r="J19" t="s">
        <v>81</v>
      </c>
      <c r="K19" t="s">
        <v>27</v>
      </c>
      <c r="L19" s="1">
        <v>397.5</v>
      </c>
      <c r="M19" t="s">
        <v>118</v>
      </c>
      <c r="N19" t="s">
        <v>137</v>
      </c>
      <c r="O19" s="2" t="str">
        <f t="shared" si="0"/>
        <v xml:space="preserve">NFSe - 430 - 4 2026 - Contrato 81136406 - RUA MOSTARDEIRO 488 APTO 306  </v>
      </c>
      <c r="P19" s="3" t="str">
        <f t="shared" si="1"/>
        <v xml:space="preserve">Intermediação no contrato da locação 81136406 - RUA MOSTARDEIRO 488 APTO 306  </v>
      </c>
    </row>
    <row r="20" spans="1:16" x14ac:dyDescent="0.25">
      <c r="A20" t="s">
        <v>82</v>
      </c>
      <c r="B20" t="s">
        <v>12</v>
      </c>
      <c r="C20" t="s">
        <v>13</v>
      </c>
      <c r="D20">
        <v>81136260</v>
      </c>
      <c r="E20" t="s">
        <v>83</v>
      </c>
      <c r="F20" t="s">
        <v>84</v>
      </c>
      <c r="G20" t="s">
        <v>85</v>
      </c>
      <c r="H20" t="s">
        <v>86</v>
      </c>
      <c r="I20" t="s">
        <v>14</v>
      </c>
      <c r="J20" t="s">
        <v>81</v>
      </c>
      <c r="K20" t="s">
        <v>27</v>
      </c>
      <c r="L20" s="1">
        <v>600</v>
      </c>
      <c r="M20" t="s">
        <v>119</v>
      </c>
      <c r="N20" t="s">
        <v>154</v>
      </c>
      <c r="O20" s="2" t="str">
        <f t="shared" si="0"/>
        <v xml:space="preserve">NFSe - 449 - 23 2026 - Contrato 81136260 - AV  IPIRANGA 40 SALA 1008 T.B </v>
      </c>
      <c r="P20" s="3" t="str">
        <f t="shared" si="1"/>
        <v xml:space="preserve">Intermediação no contrato da locação 81136260 - AV  IPIRANGA 40 SALA 1008 T.B </v>
      </c>
    </row>
    <row r="21" spans="1:16" x14ac:dyDescent="0.25">
      <c r="A21" t="s">
        <v>82</v>
      </c>
      <c r="B21" t="s">
        <v>12</v>
      </c>
      <c r="C21" t="s">
        <v>13</v>
      </c>
      <c r="D21">
        <v>81136181</v>
      </c>
      <c r="E21" t="s">
        <v>87</v>
      </c>
      <c r="F21" t="s">
        <v>88</v>
      </c>
      <c r="G21" t="s">
        <v>89</v>
      </c>
      <c r="H21" t="s">
        <v>90</v>
      </c>
      <c r="I21" t="s">
        <v>14</v>
      </c>
      <c r="J21" t="s">
        <v>81</v>
      </c>
      <c r="K21" t="s">
        <v>27</v>
      </c>
      <c r="L21" s="1">
        <v>345</v>
      </c>
      <c r="M21" t="s">
        <v>122</v>
      </c>
      <c r="N21" t="s">
        <v>155</v>
      </c>
      <c r="O21" s="2" t="str">
        <f t="shared" si="0"/>
        <v xml:space="preserve">NFSe - 450 - 24 2026 - Contrato 81136181 - RUA IRMÃO NORBERTO FRANCISCO RAUCH 700 APTO 1621 BOX: 374 </v>
      </c>
      <c r="P21" s="3" t="str">
        <f t="shared" si="1"/>
        <v xml:space="preserve">Intermediação no contrato da locação 81136181 - RUA IRMÃO NORBERTO FRANCISCO RAUCH 700 APTO 1621 BOX: 374 </v>
      </c>
    </row>
    <row r="22" spans="1:16" x14ac:dyDescent="0.25">
      <c r="A22" t="s">
        <v>82</v>
      </c>
      <c r="B22" t="s">
        <v>12</v>
      </c>
      <c r="C22" t="s">
        <v>91</v>
      </c>
      <c r="D22">
        <v>81135389</v>
      </c>
      <c r="E22" t="s">
        <v>92</v>
      </c>
      <c r="F22" t="s">
        <v>93</v>
      </c>
      <c r="G22" t="s">
        <v>94</v>
      </c>
      <c r="H22" t="s">
        <v>95</v>
      </c>
      <c r="I22" t="s">
        <v>14</v>
      </c>
      <c r="J22" t="s">
        <v>81</v>
      </c>
      <c r="K22" t="s">
        <v>16</v>
      </c>
      <c r="L22" s="1">
        <v>420</v>
      </c>
      <c r="M22" t="s">
        <v>123</v>
      </c>
      <c r="N22" t="s">
        <v>156</v>
      </c>
      <c r="O22" s="2" t="str">
        <f t="shared" si="0"/>
        <v xml:space="preserve">NFSe - 451 - 25 2026 - Contrato 81135389 - RUA ANDRADAS, DOS 487 APTO 704  </v>
      </c>
      <c r="P22" s="3" t="str">
        <f t="shared" si="1"/>
        <v xml:space="preserve">Intermediação no contrato da locação 81135389 - RUA ANDRADAS, DOS 487 APTO 704  </v>
      </c>
    </row>
    <row r="23" spans="1:16" x14ac:dyDescent="0.25">
      <c r="A23" t="s">
        <v>82</v>
      </c>
      <c r="B23" t="s">
        <v>12</v>
      </c>
      <c r="C23" t="s">
        <v>13</v>
      </c>
      <c r="D23">
        <v>81136181</v>
      </c>
      <c r="E23" t="s">
        <v>87</v>
      </c>
      <c r="F23" t="s">
        <v>96</v>
      </c>
      <c r="G23" t="s">
        <v>97</v>
      </c>
      <c r="H23" t="s">
        <v>90</v>
      </c>
      <c r="I23" t="s">
        <v>14</v>
      </c>
      <c r="J23" t="s">
        <v>81</v>
      </c>
      <c r="K23" t="s">
        <v>27</v>
      </c>
      <c r="L23" s="1">
        <v>345</v>
      </c>
      <c r="M23" t="s">
        <v>122</v>
      </c>
      <c r="N23" t="s">
        <v>157</v>
      </c>
      <c r="O23" s="2" t="str">
        <f t="shared" si="0"/>
        <v xml:space="preserve">NFSe - 452 - 26 2026 - Contrato 81136181 - RUA IRMÃO NORBERTO FRANCISCO RAUCH 700 APTO 1621 BOX: 374 </v>
      </c>
      <c r="P23" s="3" t="str">
        <f t="shared" si="1"/>
        <v xml:space="preserve">Intermediação no contrato da locação 81136181 - RUA IRMÃO NORBERTO FRANCISCO RAUCH 700 APTO 1621 BOX: 374 </v>
      </c>
    </row>
    <row r="24" spans="1:16" x14ac:dyDescent="0.25">
      <c r="A24" t="s">
        <v>82</v>
      </c>
      <c r="B24" t="s">
        <v>12</v>
      </c>
      <c r="C24" t="s">
        <v>13</v>
      </c>
      <c r="D24">
        <v>81131649</v>
      </c>
      <c r="E24" t="s">
        <v>98</v>
      </c>
      <c r="F24" t="s">
        <v>99</v>
      </c>
      <c r="G24" t="s">
        <v>100</v>
      </c>
      <c r="H24" t="s">
        <v>101</v>
      </c>
      <c r="I24" t="s">
        <v>14</v>
      </c>
      <c r="J24" t="s">
        <v>81</v>
      </c>
      <c r="K24" t="s">
        <v>16</v>
      </c>
      <c r="L24" s="1">
        <v>1120</v>
      </c>
      <c r="M24" t="s">
        <v>121</v>
      </c>
      <c r="N24" t="s">
        <v>158</v>
      </c>
      <c r="O24" s="2" t="str">
        <f t="shared" si="0"/>
        <v xml:space="preserve">NFSe - 453 - 27 2026 - Contrato 81131649 - AV  DOUTOR CARLOS BARBOSA 480 LJ   </v>
      </c>
      <c r="P24" s="3" t="str">
        <f t="shared" si="1"/>
        <v xml:space="preserve">Intermediação no contrato da locação 81131649 - AV  DOUTOR CARLOS BARBOSA 480 LJ   </v>
      </c>
    </row>
    <row r="25" spans="1:16" x14ac:dyDescent="0.25">
      <c r="A25" t="s">
        <v>82</v>
      </c>
      <c r="B25" t="s">
        <v>12</v>
      </c>
      <c r="C25" t="s">
        <v>13</v>
      </c>
      <c r="D25">
        <v>81136076</v>
      </c>
      <c r="E25" t="s">
        <v>102</v>
      </c>
      <c r="F25" t="s">
        <v>103</v>
      </c>
      <c r="G25" t="s">
        <v>104</v>
      </c>
      <c r="H25" t="s">
        <v>105</v>
      </c>
      <c r="I25" t="s">
        <v>14</v>
      </c>
      <c r="J25" t="s">
        <v>81</v>
      </c>
      <c r="K25" t="s">
        <v>16</v>
      </c>
      <c r="L25" s="1">
        <v>1300</v>
      </c>
      <c r="M25" t="s">
        <v>120</v>
      </c>
      <c r="N25" t="s">
        <v>159</v>
      </c>
      <c r="O25" s="2" t="str">
        <f t="shared" si="0"/>
        <v xml:space="preserve">NFSe - 454 - 28 2026 - Contrato 81136076 - RUA TENENTE-CORONEL RUA TENENTE-CORONEL FABRÍCIO PILAR 311 APTO 901  </v>
      </c>
      <c r="P25" s="3" t="str">
        <f t="shared" si="1"/>
        <v xml:space="preserve">Intermediação no contrato da locação 81136076 - RUA TENENTE-CORONEL RUA TENENTE-CORONEL FABRÍCIO PILAR 311 APTO 901  </v>
      </c>
    </row>
    <row r="26" spans="1:16" x14ac:dyDescent="0.25">
      <c r="A26" t="s">
        <v>82</v>
      </c>
      <c r="B26" t="s">
        <v>12</v>
      </c>
      <c r="C26" t="s">
        <v>13</v>
      </c>
      <c r="D26">
        <v>81136076</v>
      </c>
      <c r="E26" t="s">
        <v>102</v>
      </c>
      <c r="F26" t="s">
        <v>106</v>
      </c>
      <c r="G26" t="s">
        <v>107</v>
      </c>
      <c r="H26" t="s">
        <v>105</v>
      </c>
      <c r="I26" t="s">
        <v>14</v>
      </c>
      <c r="J26" t="s">
        <v>81</v>
      </c>
      <c r="K26" t="s">
        <v>16</v>
      </c>
      <c r="L26" s="1">
        <v>1300</v>
      </c>
      <c r="M26" t="s">
        <v>120</v>
      </c>
      <c r="N26" t="s">
        <v>160</v>
      </c>
      <c r="O26" s="2" t="str">
        <f t="shared" si="0"/>
        <v xml:space="preserve">NFSe - 455 - 29 2026 - Contrato 81136076 - RUA TENENTE-CORONEL RUA TENENTE-CORONEL FABRÍCIO PILAR 311 APTO 901  </v>
      </c>
      <c r="P26" s="3" t="str">
        <f t="shared" si="1"/>
        <v xml:space="preserve">Intermediação no contrato da locação 81136076 - RUA TENENTE-CORONEL RUA TENENTE-CORONEL FABRÍCIO PILAR 311 APTO 901  </v>
      </c>
    </row>
    <row r="27" spans="1:16" x14ac:dyDescent="0.25">
      <c r="A27" t="s">
        <v>108</v>
      </c>
      <c r="B27" t="s">
        <v>12</v>
      </c>
      <c r="C27" t="s">
        <v>13</v>
      </c>
      <c r="D27">
        <v>81135583</v>
      </c>
      <c r="E27" t="s">
        <v>109</v>
      </c>
      <c r="F27" t="s">
        <v>110</v>
      </c>
      <c r="G27" t="s">
        <v>111</v>
      </c>
      <c r="H27" t="s">
        <v>112</v>
      </c>
      <c r="I27" t="s">
        <v>14</v>
      </c>
      <c r="J27" t="s">
        <v>81</v>
      </c>
      <c r="K27" t="s">
        <v>16</v>
      </c>
      <c r="L27" s="1">
        <v>3300</v>
      </c>
      <c r="M27" t="s">
        <v>124</v>
      </c>
      <c r="N27" t="s">
        <v>161</v>
      </c>
      <c r="O27" s="2" t="str">
        <f t="shared" si="0"/>
        <v xml:space="preserve">NFSe - 456 - 30 2026 - Contrato 81135583 - AVENIDA GETÚLIO VARGAS 298 APTO 32  </v>
      </c>
      <c r="P27" s="3" t="str">
        <f t="shared" si="1"/>
        <v xml:space="preserve">Intermediação no contrato da locação 81135583 - AVENIDA GETÚLIO VARGAS 298 APTO 32  </v>
      </c>
    </row>
    <row r="28" spans="1:16" x14ac:dyDescent="0.25">
      <c r="A28" t="s">
        <v>113</v>
      </c>
      <c r="B28" t="s">
        <v>12</v>
      </c>
      <c r="C28" t="s">
        <v>13</v>
      </c>
      <c r="D28">
        <v>81128234</v>
      </c>
      <c r="E28" t="s">
        <v>114</v>
      </c>
      <c r="F28" t="s">
        <v>115</v>
      </c>
      <c r="G28" t="s">
        <v>116</v>
      </c>
      <c r="H28" t="s">
        <v>117</v>
      </c>
      <c r="I28" t="s">
        <v>14</v>
      </c>
      <c r="J28" t="s">
        <v>81</v>
      </c>
      <c r="K28" t="s">
        <v>16</v>
      </c>
      <c r="L28" s="1">
        <v>1358</v>
      </c>
      <c r="M28" t="s">
        <v>134</v>
      </c>
      <c r="N28" t="s">
        <v>162</v>
      </c>
      <c r="O28" s="2" t="str">
        <f t="shared" si="0"/>
        <v xml:space="preserve">NFSe - 457 - 31 2026 - Contrato 81128234 - RUA ATANÁSIO BELMONTE 51 APTO 208 BOX 27 </v>
      </c>
      <c r="P28" s="3" t="str">
        <f t="shared" si="1"/>
        <v xml:space="preserve">Intermediação no contrato da locação 81128234 - RUA ATANÁSIO BELMONTE 51 APTO 208 BOX 27 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DW - MOINHOS DE VENTO - Interme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dcterms:created xsi:type="dcterms:W3CDTF">2026-03-01T16:44:47Z</dcterms:created>
  <dcterms:modified xsi:type="dcterms:W3CDTF">2026-03-07T14:57:17Z</dcterms:modified>
</cp:coreProperties>
</file>