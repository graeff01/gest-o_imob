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Moinhos\Financeiro\Contabilidade\"/>
    </mc:Choice>
  </mc:AlternateContent>
  <xr:revisionPtr revIDLastSave="0" documentId="8_{ACB2551E-303C-479D-AAA0-C38AE2F2478C}" xr6:coauthVersionLast="46" xr6:coauthVersionMax="46" xr10:uidLastSave="{00000000-0000-0000-0000-000000000000}"/>
  <bookViews>
    <workbookView xWindow="-120" yWindow="-120" windowWidth="20730" windowHeight="11160" activeTab="2" xr2:uid="{00000000-000D-0000-FFFF-FFFF00000000}"/>
  </bookViews>
  <sheets>
    <sheet name="Folha" sheetId="5" r:id="rId1"/>
    <sheet name="FATURAMENTO " sheetId="3" r:id="rId2"/>
    <sheet name="DESPESAS" sheetId="1" r:id="rId3"/>
    <sheet name="FOLHA DE PAGAMENTOS" sheetId="2" r:id="rId4"/>
    <sheet name="Tarifas Bancárias" sheetId="4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4" i="5" l="1"/>
  <c r="E42" i="5"/>
  <c r="E15" i="5"/>
  <c r="J130" i="1"/>
  <c r="AV84" i="1"/>
  <c r="AU84" i="1"/>
  <c r="AT84" i="1"/>
  <c r="AR84" i="1"/>
  <c r="AQ84" i="1"/>
  <c r="AP84" i="1"/>
  <c r="AN84" i="1"/>
  <c r="AM84" i="1"/>
  <c r="AL84" i="1"/>
  <c r="AJ84" i="1"/>
  <c r="AI84" i="1"/>
  <c r="AH84" i="1"/>
  <c r="AF84" i="1"/>
  <c r="AE84" i="1"/>
  <c r="AD84" i="1"/>
  <c r="AB84" i="1"/>
  <c r="AA84" i="1"/>
  <c r="Z84" i="1"/>
  <c r="X84" i="1"/>
  <c r="W84" i="1"/>
  <c r="V84" i="1"/>
  <c r="T84" i="1"/>
  <c r="S84" i="1"/>
  <c r="R84" i="1"/>
  <c r="P84" i="1"/>
  <c r="O84" i="1"/>
  <c r="N84" i="1"/>
  <c r="AV88" i="1"/>
  <c r="AU88" i="1"/>
  <c r="AV87" i="1"/>
  <c r="AU87" i="1"/>
  <c r="AV86" i="1"/>
  <c r="AU86" i="1"/>
  <c r="AV85" i="1"/>
  <c r="AU85" i="1"/>
  <c r="AR88" i="1"/>
  <c r="AQ88" i="1"/>
  <c r="AR87" i="1"/>
  <c r="AQ87" i="1"/>
  <c r="AR86" i="1"/>
  <c r="AQ86" i="1"/>
  <c r="AR85" i="1"/>
  <c r="AQ85" i="1"/>
  <c r="AN88" i="1"/>
  <c r="AM88" i="1"/>
  <c r="AN87" i="1"/>
  <c r="AM87" i="1"/>
  <c r="AN86" i="1"/>
  <c r="AM86" i="1"/>
  <c r="AN85" i="1"/>
  <c r="AM85" i="1"/>
  <c r="AJ88" i="1"/>
  <c r="AI88" i="1"/>
  <c r="AJ87" i="1"/>
  <c r="AI87" i="1"/>
  <c r="AJ86" i="1"/>
  <c r="AI86" i="1"/>
  <c r="AJ85" i="1"/>
  <c r="AI85" i="1"/>
  <c r="AF88" i="1"/>
  <c r="AE88" i="1"/>
  <c r="AF87" i="1"/>
  <c r="AE87" i="1"/>
  <c r="AF86" i="1"/>
  <c r="AE86" i="1"/>
  <c r="AF85" i="1"/>
  <c r="AE85" i="1"/>
  <c r="AB88" i="1"/>
  <c r="AA88" i="1"/>
  <c r="AB87" i="1"/>
  <c r="AA87" i="1"/>
  <c r="AB86" i="1"/>
  <c r="AA86" i="1"/>
  <c r="AB85" i="1"/>
  <c r="AA85" i="1"/>
  <c r="X88" i="1"/>
  <c r="W88" i="1"/>
  <c r="X87" i="1"/>
  <c r="W87" i="1"/>
  <c r="X86" i="1"/>
  <c r="W86" i="1"/>
  <c r="X85" i="1"/>
  <c r="W85" i="1"/>
  <c r="T88" i="1"/>
  <c r="S88" i="1"/>
  <c r="T87" i="1"/>
  <c r="S87" i="1"/>
  <c r="T86" i="1"/>
  <c r="S86" i="1"/>
  <c r="T85" i="1"/>
  <c r="S85" i="1"/>
  <c r="R85" i="1" s="1"/>
  <c r="P88" i="1"/>
  <c r="O88" i="1"/>
  <c r="P87" i="1"/>
  <c r="O87" i="1"/>
  <c r="P86" i="1"/>
  <c r="O86" i="1"/>
  <c r="P85" i="1"/>
  <c r="O85" i="1"/>
  <c r="R86" i="1"/>
  <c r="L88" i="1"/>
  <c r="K88" i="1"/>
  <c r="L87" i="1"/>
  <c r="K87" i="1"/>
  <c r="L86" i="1"/>
  <c r="K86" i="1"/>
  <c r="L85" i="1"/>
  <c r="K85" i="1"/>
  <c r="G85" i="1"/>
  <c r="K15" i="1" l="1"/>
  <c r="K82" i="1"/>
  <c r="K117" i="1"/>
  <c r="J132" i="1"/>
  <c r="AV120" i="1"/>
  <c r="AU120" i="1"/>
  <c r="AR120" i="1"/>
  <c r="AQ120" i="1"/>
  <c r="AN120" i="1"/>
  <c r="AM120" i="1"/>
  <c r="AJ120" i="1"/>
  <c r="AI120" i="1"/>
  <c r="AF120" i="1"/>
  <c r="AE120" i="1"/>
  <c r="AB120" i="1"/>
  <c r="AA120" i="1"/>
  <c r="X120" i="1"/>
  <c r="W120" i="1"/>
  <c r="T120" i="1"/>
  <c r="S120" i="1"/>
  <c r="P120" i="1"/>
  <c r="O120" i="1"/>
  <c r="K28" i="1"/>
  <c r="H80" i="3"/>
  <c r="E51" i="5"/>
  <c r="J128" i="1"/>
  <c r="H251" i="3"/>
  <c r="H212" i="3"/>
  <c r="H154" i="3"/>
  <c r="L60" i="1"/>
  <c r="M11" i="1"/>
  <c r="L55" i="1"/>
  <c r="K55" i="1"/>
  <c r="D155" i="5"/>
  <c r="F155" i="5"/>
  <c r="G155" i="5"/>
  <c r="H155" i="5"/>
  <c r="I155" i="5"/>
  <c r="J155" i="5"/>
  <c r="K155" i="5"/>
  <c r="L155" i="5"/>
  <c r="M155" i="5"/>
  <c r="N155" i="5"/>
  <c r="D157" i="5"/>
  <c r="F157" i="5"/>
  <c r="G157" i="5"/>
  <c r="H157" i="5"/>
  <c r="I157" i="5"/>
  <c r="J157" i="5"/>
  <c r="K157" i="5"/>
  <c r="L157" i="5"/>
  <c r="M157" i="5"/>
  <c r="N157" i="5"/>
  <c r="C155" i="5"/>
  <c r="C157" i="5"/>
  <c r="F159" i="5"/>
  <c r="G159" i="5"/>
  <c r="H159" i="5"/>
  <c r="I159" i="5"/>
  <c r="J159" i="5"/>
  <c r="K159" i="5"/>
  <c r="L159" i="5"/>
  <c r="M159" i="5"/>
  <c r="N159" i="5"/>
  <c r="C159" i="5"/>
  <c r="D159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E54" i="5" l="1"/>
  <c r="X78" i="4" l="1"/>
  <c r="X77" i="4"/>
  <c r="X72" i="4"/>
  <c r="X70" i="4"/>
  <c r="F128" i="1" l="1"/>
  <c r="I11" i="1"/>
  <c r="D55" i="1"/>
  <c r="C55" i="1"/>
  <c r="B130" i="1"/>
  <c r="H88" i="1"/>
  <c r="G88" i="1"/>
  <c r="H87" i="1"/>
  <c r="G87" i="1"/>
  <c r="H86" i="1"/>
  <c r="G86" i="1"/>
  <c r="H85" i="1"/>
  <c r="G79" i="1"/>
  <c r="F134" i="1"/>
  <c r="F135" i="1"/>
  <c r="I41" i="1"/>
  <c r="H44" i="1"/>
  <c r="H62" i="1"/>
  <c r="G33" i="1"/>
  <c r="G57" i="1"/>
  <c r="I14" i="1"/>
  <c r="I88" i="1"/>
  <c r="G55" i="1"/>
  <c r="H55" i="1"/>
  <c r="X60" i="4"/>
  <c r="X57" i="4"/>
  <c r="BA115" i="1"/>
  <c r="BA114" i="1"/>
  <c r="BA113" i="1"/>
  <c r="BA104" i="1"/>
  <c r="BA97" i="1"/>
  <c r="BA95" i="1"/>
  <c r="BA78" i="1"/>
  <c r="BA63" i="1"/>
  <c r="BA41" i="1"/>
  <c r="BA26" i="1"/>
  <c r="BA25" i="1"/>
  <c r="BA24" i="1"/>
  <c r="BA23" i="1"/>
  <c r="BA22" i="1"/>
  <c r="BA19" i="1"/>
  <c r="BA18" i="1"/>
  <c r="BA17" i="1"/>
  <c r="BA14" i="1"/>
  <c r="BA13" i="1"/>
  <c r="BA12" i="1"/>
  <c r="BA11" i="1"/>
  <c r="BA10" i="1"/>
  <c r="BA9" i="1"/>
  <c r="BA8" i="1"/>
  <c r="BA6" i="1"/>
  <c r="BA5" i="1"/>
  <c r="C164" i="1" l="1"/>
  <c r="C165" i="1" l="1"/>
  <c r="C154" i="1"/>
  <c r="D154" i="1"/>
  <c r="B154" i="1" l="1"/>
  <c r="B153" i="1" l="1"/>
  <c r="BC89" i="1" l="1"/>
  <c r="B145" i="1"/>
  <c r="B146" i="1"/>
  <c r="B147" i="1"/>
  <c r="B148" i="1"/>
  <c r="B149" i="1"/>
  <c r="B150" i="1"/>
  <c r="B151" i="1"/>
  <c r="B152" i="1"/>
  <c r="C156" i="1"/>
  <c r="D156" i="1"/>
  <c r="C157" i="1"/>
  <c r="B157" i="1" s="1"/>
  <c r="D157" i="1"/>
  <c r="C158" i="1"/>
  <c r="D158" i="1"/>
  <c r="C159" i="1"/>
  <c r="B159" i="1" s="1"/>
  <c r="D159" i="1"/>
  <c r="D155" i="1"/>
  <c r="C155" i="1"/>
  <c r="B155" i="1" s="1"/>
  <c r="B158" i="1" l="1"/>
  <c r="B156" i="1"/>
  <c r="BB115" i="1" l="1"/>
  <c r="BB114" i="1"/>
  <c r="BB113" i="1"/>
  <c r="BB110" i="1"/>
  <c r="BB109" i="1"/>
  <c r="BB108" i="1"/>
  <c r="BB107" i="1"/>
  <c r="BB106" i="1"/>
  <c r="BB105" i="1"/>
  <c r="BB104" i="1"/>
  <c r="BB99" i="1"/>
  <c r="BB97" i="1"/>
  <c r="BB95" i="1"/>
  <c r="BB88" i="1"/>
  <c r="BB87" i="1"/>
  <c r="BB86" i="1"/>
  <c r="BB85" i="1"/>
  <c r="BB78" i="1"/>
  <c r="BB63" i="1"/>
  <c r="BB41" i="1"/>
  <c r="BB26" i="1"/>
  <c r="BB25" i="1"/>
  <c r="BB24" i="1"/>
  <c r="BB23" i="1"/>
  <c r="BB22" i="1"/>
  <c r="BB19" i="1"/>
  <c r="BB18" i="1"/>
  <c r="BB17" i="1"/>
  <c r="BB6" i="1"/>
  <c r="BB7" i="1"/>
  <c r="BB8" i="1"/>
  <c r="BB9" i="1"/>
  <c r="BB10" i="1"/>
  <c r="BB11" i="1"/>
  <c r="BB12" i="1"/>
  <c r="BB13" i="1"/>
  <c r="BB14" i="1"/>
  <c r="BB5" i="1"/>
  <c r="E25" i="1" l="1"/>
  <c r="C34" i="5"/>
  <c r="C83" i="5"/>
  <c r="C41" i="5"/>
  <c r="C42" i="5"/>
  <c r="E11" i="1" l="1"/>
  <c r="E85" i="1"/>
  <c r="D85" i="1" l="1"/>
  <c r="C20" i="5"/>
  <c r="N151" i="5"/>
  <c r="M151" i="5"/>
  <c r="L151" i="5"/>
  <c r="K151" i="5"/>
  <c r="J151" i="5"/>
  <c r="I151" i="5"/>
  <c r="H151" i="5"/>
  <c r="G151" i="5"/>
  <c r="F151" i="5"/>
  <c r="E151" i="5"/>
  <c r="D151" i="5"/>
  <c r="C151" i="5"/>
  <c r="N147" i="5"/>
  <c r="M147" i="5"/>
  <c r="L147" i="5"/>
  <c r="K147" i="5"/>
  <c r="J147" i="5"/>
  <c r="I147" i="5"/>
  <c r="H147" i="5"/>
  <c r="G147" i="5"/>
  <c r="F147" i="5"/>
  <c r="E147" i="5"/>
  <c r="C147" i="5"/>
  <c r="N143" i="5"/>
  <c r="M143" i="5"/>
  <c r="L143" i="5"/>
  <c r="K143" i="5"/>
  <c r="J143" i="5"/>
  <c r="I143" i="5"/>
  <c r="H143" i="5"/>
  <c r="G143" i="5"/>
  <c r="F143" i="5"/>
  <c r="E143" i="5"/>
  <c r="D143" i="5"/>
  <c r="C143" i="5"/>
  <c r="N139" i="5"/>
  <c r="M139" i="5"/>
  <c r="L139" i="5"/>
  <c r="K139" i="5"/>
  <c r="J139" i="5"/>
  <c r="I139" i="5"/>
  <c r="H139" i="5"/>
  <c r="G139" i="5"/>
  <c r="F139" i="5"/>
  <c r="E139" i="5"/>
  <c r="D139" i="5"/>
  <c r="C139" i="5"/>
  <c r="N136" i="5"/>
  <c r="M136" i="5"/>
  <c r="L136" i="5"/>
  <c r="K136" i="5"/>
  <c r="J136" i="5"/>
  <c r="I136" i="5"/>
  <c r="H136" i="5"/>
  <c r="G136" i="5"/>
  <c r="F136" i="5"/>
  <c r="E136" i="5"/>
  <c r="D136" i="5"/>
  <c r="C136" i="5"/>
  <c r="N133" i="5"/>
  <c r="M133" i="5"/>
  <c r="L133" i="5"/>
  <c r="K133" i="5"/>
  <c r="J133" i="5"/>
  <c r="I133" i="5"/>
  <c r="H133" i="5"/>
  <c r="G133" i="5"/>
  <c r="F133" i="5"/>
  <c r="E133" i="5"/>
  <c r="D133" i="5"/>
  <c r="C133" i="5"/>
  <c r="N129" i="5"/>
  <c r="M129" i="5"/>
  <c r="L129" i="5"/>
  <c r="K129" i="5"/>
  <c r="J129" i="5"/>
  <c r="I129" i="5"/>
  <c r="H129" i="5"/>
  <c r="G129" i="5"/>
  <c r="F129" i="5"/>
  <c r="E129" i="5"/>
  <c r="D129" i="5"/>
  <c r="C129" i="5"/>
  <c r="N125" i="5"/>
  <c r="M125" i="5"/>
  <c r="L125" i="5"/>
  <c r="K125" i="5"/>
  <c r="J125" i="5"/>
  <c r="I125" i="5"/>
  <c r="H125" i="5"/>
  <c r="G125" i="5"/>
  <c r="F125" i="5"/>
  <c r="E125" i="5"/>
  <c r="C125" i="5"/>
  <c r="N119" i="5"/>
  <c r="M119" i="5"/>
  <c r="L119" i="5"/>
  <c r="K119" i="5"/>
  <c r="J119" i="5"/>
  <c r="I119" i="5"/>
  <c r="H119" i="5"/>
  <c r="G119" i="5"/>
  <c r="F119" i="5"/>
  <c r="E119" i="5"/>
  <c r="C119" i="5"/>
  <c r="N113" i="5"/>
  <c r="M113" i="5"/>
  <c r="L113" i="5"/>
  <c r="K113" i="5"/>
  <c r="J113" i="5"/>
  <c r="I113" i="5"/>
  <c r="H113" i="5"/>
  <c r="G113" i="5"/>
  <c r="F113" i="5"/>
  <c r="E113" i="5"/>
  <c r="D113" i="5"/>
  <c r="C113" i="5"/>
  <c r="N109" i="5"/>
  <c r="M109" i="5"/>
  <c r="L109" i="5"/>
  <c r="K109" i="5"/>
  <c r="J109" i="5"/>
  <c r="I109" i="5"/>
  <c r="H109" i="5"/>
  <c r="G109" i="5"/>
  <c r="F109" i="5"/>
  <c r="E109" i="5"/>
  <c r="D109" i="5"/>
  <c r="C109" i="5"/>
  <c r="N90" i="5"/>
  <c r="M90" i="5"/>
  <c r="L90" i="5"/>
  <c r="K90" i="5"/>
  <c r="J90" i="5"/>
  <c r="I90" i="5"/>
  <c r="H90" i="5"/>
  <c r="G90" i="5"/>
  <c r="F90" i="5"/>
  <c r="E90" i="5"/>
  <c r="D90" i="5"/>
  <c r="C90" i="5"/>
  <c r="N80" i="5"/>
  <c r="M80" i="5"/>
  <c r="L80" i="5"/>
  <c r="K80" i="5"/>
  <c r="J80" i="5"/>
  <c r="I80" i="5"/>
  <c r="H80" i="5"/>
  <c r="G80" i="5"/>
  <c r="F80" i="5"/>
  <c r="E80" i="5"/>
  <c r="D80" i="5"/>
  <c r="C80" i="5"/>
  <c r="N69" i="5"/>
  <c r="M69" i="5"/>
  <c r="L69" i="5"/>
  <c r="K69" i="5"/>
  <c r="J69" i="5"/>
  <c r="I69" i="5"/>
  <c r="H69" i="5"/>
  <c r="G69" i="5"/>
  <c r="F69" i="5"/>
  <c r="E69" i="5"/>
  <c r="D69" i="5"/>
  <c r="C69" i="5"/>
  <c r="N59" i="5"/>
  <c r="M59" i="5"/>
  <c r="L59" i="5"/>
  <c r="K59" i="5"/>
  <c r="J59" i="5"/>
  <c r="I59" i="5"/>
  <c r="H59" i="5"/>
  <c r="G59" i="5"/>
  <c r="F59" i="5"/>
  <c r="E59" i="5"/>
  <c r="D59" i="5"/>
  <c r="C59" i="5"/>
  <c r="N49" i="5"/>
  <c r="M49" i="5"/>
  <c r="L49" i="5"/>
  <c r="K49" i="5"/>
  <c r="J49" i="5"/>
  <c r="I49" i="5"/>
  <c r="H49" i="5"/>
  <c r="G49" i="5"/>
  <c r="F49" i="5"/>
  <c r="E49" i="5"/>
  <c r="D49" i="5"/>
  <c r="C49" i="5"/>
  <c r="N39" i="5"/>
  <c r="M39" i="5"/>
  <c r="L39" i="5"/>
  <c r="K39" i="5"/>
  <c r="J39" i="5"/>
  <c r="I39" i="5"/>
  <c r="H39" i="5"/>
  <c r="G39" i="5"/>
  <c r="F39" i="5"/>
  <c r="E39" i="5"/>
  <c r="D39" i="5"/>
  <c r="C39" i="5"/>
  <c r="N29" i="5"/>
  <c r="M29" i="5"/>
  <c r="L29" i="5"/>
  <c r="K29" i="5"/>
  <c r="J29" i="5"/>
  <c r="I29" i="5"/>
  <c r="H29" i="5"/>
  <c r="G29" i="5"/>
  <c r="F29" i="5"/>
  <c r="E29" i="5"/>
  <c r="D29" i="5"/>
  <c r="C29" i="5"/>
  <c r="N20" i="5"/>
  <c r="N153" i="5" s="1"/>
  <c r="M20" i="5"/>
  <c r="M153" i="5" s="1"/>
  <c r="L20" i="5"/>
  <c r="K20" i="5"/>
  <c r="K153" i="5" s="1"/>
  <c r="J20" i="5"/>
  <c r="J153" i="5" s="1"/>
  <c r="I20" i="5"/>
  <c r="I153" i="5" s="1"/>
  <c r="H20" i="5"/>
  <c r="G20" i="5"/>
  <c r="G153" i="5" s="1"/>
  <c r="F20" i="5"/>
  <c r="F153" i="5" s="1"/>
  <c r="E20" i="5"/>
  <c r="E153" i="5" s="1"/>
  <c r="E155" i="5" s="1"/>
  <c r="K84" i="1" s="1"/>
  <c r="K89" i="1" s="1"/>
  <c r="K121" i="1" s="1"/>
  <c r="K122" i="1" s="1"/>
  <c r="D20" i="5"/>
  <c r="N10" i="5"/>
  <c r="M10" i="5"/>
  <c r="L10" i="5"/>
  <c r="K10" i="5"/>
  <c r="J10" i="5"/>
  <c r="I10" i="5"/>
  <c r="H10" i="5"/>
  <c r="G10" i="5"/>
  <c r="F10" i="5"/>
  <c r="E10" i="5"/>
  <c r="D10" i="5"/>
  <c r="C10" i="5"/>
  <c r="E109" i="1"/>
  <c r="C109" i="1" s="1"/>
  <c r="E23" i="1"/>
  <c r="E27" i="1" s="1"/>
  <c r="K24" i="1"/>
  <c r="L24" i="1"/>
  <c r="O24" i="1"/>
  <c r="P24" i="1"/>
  <c r="S24" i="1"/>
  <c r="T24" i="1"/>
  <c r="W24" i="1"/>
  <c r="X24" i="1"/>
  <c r="AA24" i="1"/>
  <c r="AB24" i="1"/>
  <c r="AE24" i="1"/>
  <c r="AF24" i="1"/>
  <c r="AI24" i="1"/>
  <c r="AJ24" i="1"/>
  <c r="AM24" i="1"/>
  <c r="AN24" i="1"/>
  <c r="AQ24" i="1"/>
  <c r="AR24" i="1"/>
  <c r="AU24" i="1"/>
  <c r="AV24" i="1"/>
  <c r="K25" i="1"/>
  <c r="L25" i="1"/>
  <c r="O25" i="1"/>
  <c r="P25" i="1"/>
  <c r="S25" i="1"/>
  <c r="T25" i="1"/>
  <c r="W25" i="1"/>
  <c r="X25" i="1"/>
  <c r="AA25" i="1"/>
  <c r="AB25" i="1"/>
  <c r="AE25" i="1"/>
  <c r="AF25" i="1"/>
  <c r="AI25" i="1"/>
  <c r="AJ25" i="1"/>
  <c r="AM25" i="1"/>
  <c r="AN25" i="1"/>
  <c r="AQ25" i="1"/>
  <c r="AR25" i="1"/>
  <c r="AU25" i="1"/>
  <c r="AV25" i="1"/>
  <c r="G24" i="1"/>
  <c r="H24" i="1"/>
  <c r="G25" i="1"/>
  <c r="H25" i="1"/>
  <c r="C24" i="1"/>
  <c r="D24" i="1"/>
  <c r="C25" i="1"/>
  <c r="D25" i="1"/>
  <c r="D97" i="1"/>
  <c r="C97" i="1"/>
  <c r="D99" i="1"/>
  <c r="C99" i="1"/>
  <c r="AZ97" i="1"/>
  <c r="AY97" i="1"/>
  <c r="AT97" i="1"/>
  <c r="AP97" i="1"/>
  <c r="AL97" i="1"/>
  <c r="AH97" i="1"/>
  <c r="AD97" i="1"/>
  <c r="Z97" i="1"/>
  <c r="V97" i="1"/>
  <c r="R97" i="1"/>
  <c r="N97" i="1"/>
  <c r="J97" i="1"/>
  <c r="F97" i="1"/>
  <c r="D88" i="1"/>
  <c r="C88" i="1"/>
  <c r="D87" i="1"/>
  <c r="C87" i="1"/>
  <c r="C85" i="1"/>
  <c r="E86" i="1"/>
  <c r="D86" i="1" s="1"/>
  <c r="C81" i="1"/>
  <c r="AY81" i="1" s="1"/>
  <c r="D11" i="1"/>
  <c r="C33" i="1"/>
  <c r="AY33" i="1" s="1"/>
  <c r="AZ33" i="1"/>
  <c r="AT33" i="1"/>
  <c r="AP33" i="1"/>
  <c r="AL33" i="1"/>
  <c r="AH33" i="1"/>
  <c r="AD33" i="1"/>
  <c r="Z33" i="1"/>
  <c r="V33" i="1"/>
  <c r="R33" i="1"/>
  <c r="N33" i="1"/>
  <c r="J33" i="1"/>
  <c r="F33" i="1"/>
  <c r="E113" i="1"/>
  <c r="D113" i="1" s="1"/>
  <c r="X403" i="4"/>
  <c r="W403" i="4"/>
  <c r="V403" i="4"/>
  <c r="U403" i="4"/>
  <c r="T403" i="4"/>
  <c r="S403" i="4"/>
  <c r="R403" i="4"/>
  <c r="Q403" i="4"/>
  <c r="P403" i="4"/>
  <c r="O403" i="4"/>
  <c r="N403" i="4"/>
  <c r="M403" i="4"/>
  <c r="L403" i="4"/>
  <c r="K403" i="4"/>
  <c r="J403" i="4"/>
  <c r="I403" i="4"/>
  <c r="H403" i="4"/>
  <c r="G403" i="4"/>
  <c r="F403" i="4"/>
  <c r="E403" i="4"/>
  <c r="D403" i="4"/>
  <c r="C403" i="4"/>
  <c r="B403" i="4"/>
  <c r="Y401" i="4"/>
  <c r="Y400" i="4"/>
  <c r="Y399" i="4"/>
  <c r="Y398" i="4"/>
  <c r="Y397" i="4"/>
  <c r="Y396" i="4"/>
  <c r="Y395" i="4"/>
  <c r="Y394" i="4"/>
  <c r="Y393" i="4"/>
  <c r="Y392" i="4"/>
  <c r="Y391" i="4"/>
  <c r="Y390" i="4"/>
  <c r="Y389" i="4"/>
  <c r="Y388" i="4"/>
  <c r="Y387" i="4"/>
  <c r="Y386" i="4"/>
  <c r="Y385" i="4"/>
  <c r="Y384" i="4"/>
  <c r="Y383" i="4"/>
  <c r="Y382" i="4"/>
  <c r="Y381" i="4"/>
  <c r="Y380" i="4"/>
  <c r="Y379" i="4"/>
  <c r="Y378" i="4"/>
  <c r="Y377" i="4"/>
  <c r="Y376" i="4"/>
  <c r="Y375" i="4"/>
  <c r="Y374" i="4"/>
  <c r="Y373" i="4"/>
  <c r="Y372" i="4"/>
  <c r="Y371" i="4"/>
  <c r="Y370" i="4"/>
  <c r="X369" i="4"/>
  <c r="W369" i="4"/>
  <c r="V369" i="4"/>
  <c r="U369" i="4"/>
  <c r="T369" i="4"/>
  <c r="S369" i="4"/>
  <c r="R369" i="4"/>
  <c r="Q369" i="4"/>
  <c r="P369" i="4"/>
  <c r="O369" i="4"/>
  <c r="N369" i="4"/>
  <c r="M369" i="4"/>
  <c r="L369" i="4"/>
  <c r="K369" i="4"/>
  <c r="J369" i="4"/>
  <c r="I369" i="4"/>
  <c r="H369" i="4"/>
  <c r="G369" i="4"/>
  <c r="F369" i="4"/>
  <c r="E369" i="4"/>
  <c r="D369" i="4"/>
  <c r="C369" i="4"/>
  <c r="B369" i="4"/>
  <c r="Y368" i="4"/>
  <c r="Y367" i="4"/>
  <c r="Y366" i="4"/>
  <c r="Y365" i="4"/>
  <c r="Y364" i="4"/>
  <c r="Y363" i="4"/>
  <c r="Y362" i="4"/>
  <c r="Y361" i="4"/>
  <c r="Y360" i="4"/>
  <c r="Y359" i="4"/>
  <c r="Y358" i="4"/>
  <c r="Y357" i="4"/>
  <c r="Y356" i="4"/>
  <c r="Y355" i="4"/>
  <c r="Y354" i="4"/>
  <c r="Y353" i="4"/>
  <c r="Y352" i="4"/>
  <c r="Y351" i="4"/>
  <c r="Y350" i="4"/>
  <c r="Y349" i="4"/>
  <c r="Y348" i="4"/>
  <c r="Y347" i="4"/>
  <c r="Y346" i="4"/>
  <c r="Y345" i="4"/>
  <c r="Y344" i="4"/>
  <c r="Y343" i="4"/>
  <c r="Y342" i="4"/>
  <c r="Y341" i="4"/>
  <c r="Y340" i="4"/>
  <c r="Y339" i="4"/>
  <c r="Y338" i="4"/>
  <c r="Y337" i="4"/>
  <c r="Y369" i="4" s="1"/>
  <c r="AS113" i="1" s="1"/>
  <c r="AR113" i="1" s="1"/>
  <c r="X336" i="4"/>
  <c r="W336" i="4"/>
  <c r="V336" i="4"/>
  <c r="U336" i="4"/>
  <c r="T336" i="4"/>
  <c r="S336" i="4"/>
  <c r="R336" i="4"/>
  <c r="Q336" i="4"/>
  <c r="P336" i="4"/>
  <c r="O336" i="4"/>
  <c r="N336" i="4"/>
  <c r="M336" i="4"/>
  <c r="L336" i="4"/>
  <c r="K336" i="4"/>
  <c r="J336" i="4"/>
  <c r="I336" i="4"/>
  <c r="H336" i="4"/>
  <c r="G336" i="4"/>
  <c r="F336" i="4"/>
  <c r="E336" i="4"/>
  <c r="D336" i="4"/>
  <c r="C336" i="4"/>
  <c r="B336" i="4"/>
  <c r="Y335" i="4"/>
  <c r="Y334" i="4"/>
  <c r="Y333" i="4"/>
  <c r="Y332" i="4"/>
  <c r="Y331" i="4"/>
  <c r="Y330" i="4"/>
  <c r="Y329" i="4"/>
  <c r="Y328" i="4"/>
  <c r="Y327" i="4"/>
  <c r="Y326" i="4"/>
  <c r="Y325" i="4"/>
  <c r="Y324" i="4"/>
  <c r="Y323" i="4"/>
  <c r="Y322" i="4"/>
  <c r="Y321" i="4"/>
  <c r="Y320" i="4"/>
  <c r="Y319" i="4"/>
  <c r="Y318" i="4"/>
  <c r="Y317" i="4"/>
  <c r="Y316" i="4"/>
  <c r="Y315" i="4"/>
  <c r="Y314" i="4"/>
  <c r="Y313" i="4"/>
  <c r="Y312" i="4"/>
  <c r="Y311" i="4"/>
  <c r="Y310" i="4"/>
  <c r="Y309" i="4"/>
  <c r="Y308" i="4"/>
  <c r="Y307" i="4"/>
  <c r="Y306" i="4"/>
  <c r="Y305" i="4"/>
  <c r="Y304" i="4"/>
  <c r="Y303" i="4"/>
  <c r="Y336" i="4" s="1"/>
  <c r="AO113" i="1" s="1"/>
  <c r="X302" i="4"/>
  <c r="W302" i="4"/>
  <c r="V302" i="4"/>
  <c r="U302" i="4"/>
  <c r="T302" i="4"/>
  <c r="S302" i="4"/>
  <c r="R302" i="4"/>
  <c r="Q302" i="4"/>
  <c r="P302" i="4"/>
  <c r="O302" i="4"/>
  <c r="N302" i="4"/>
  <c r="M302" i="4"/>
  <c r="L302" i="4"/>
  <c r="K302" i="4"/>
  <c r="J302" i="4"/>
  <c r="I302" i="4"/>
  <c r="H302" i="4"/>
  <c r="G302" i="4"/>
  <c r="F302" i="4"/>
  <c r="E302" i="4"/>
  <c r="D302" i="4"/>
  <c r="C302" i="4"/>
  <c r="B302" i="4"/>
  <c r="Y301" i="4"/>
  <c r="Y300" i="4"/>
  <c r="Y299" i="4"/>
  <c r="Y298" i="4"/>
  <c r="Y297" i="4"/>
  <c r="Y296" i="4"/>
  <c r="Y295" i="4"/>
  <c r="Y294" i="4"/>
  <c r="Y293" i="4"/>
  <c r="Y292" i="4"/>
  <c r="Y291" i="4"/>
  <c r="Y290" i="4"/>
  <c r="Y289" i="4"/>
  <c r="Y288" i="4"/>
  <c r="Y287" i="4"/>
  <c r="Y286" i="4"/>
  <c r="Y285" i="4"/>
  <c r="Y284" i="4"/>
  <c r="Y283" i="4"/>
  <c r="Y282" i="4"/>
  <c r="Y281" i="4"/>
  <c r="Y280" i="4"/>
  <c r="Y279" i="4"/>
  <c r="Y278" i="4"/>
  <c r="Y277" i="4"/>
  <c r="Y276" i="4"/>
  <c r="Y275" i="4"/>
  <c r="Y274" i="4"/>
  <c r="Y273" i="4"/>
  <c r="Y272" i="4"/>
  <c r="Y271" i="4"/>
  <c r="Y270" i="4"/>
  <c r="X269" i="4"/>
  <c r="W269" i="4"/>
  <c r="V269" i="4"/>
  <c r="U269" i="4"/>
  <c r="T269" i="4"/>
  <c r="S269" i="4"/>
  <c r="R269" i="4"/>
  <c r="Q269" i="4"/>
  <c r="P269" i="4"/>
  <c r="O269" i="4"/>
  <c r="N269" i="4"/>
  <c r="M269" i="4"/>
  <c r="L269" i="4"/>
  <c r="K269" i="4"/>
  <c r="J269" i="4"/>
  <c r="I269" i="4"/>
  <c r="H269" i="4"/>
  <c r="G269" i="4"/>
  <c r="F269" i="4"/>
  <c r="E269" i="4"/>
  <c r="D269" i="4"/>
  <c r="C269" i="4"/>
  <c r="B269" i="4"/>
  <c r="Y268" i="4"/>
  <c r="Y267" i="4"/>
  <c r="Y266" i="4"/>
  <c r="Y265" i="4"/>
  <c r="Y264" i="4"/>
  <c r="Y263" i="4"/>
  <c r="Y262" i="4"/>
  <c r="Y261" i="4"/>
  <c r="Y260" i="4"/>
  <c r="Y259" i="4"/>
  <c r="Y258" i="4"/>
  <c r="Y257" i="4"/>
  <c r="Y256" i="4"/>
  <c r="Y255" i="4"/>
  <c r="Y254" i="4"/>
  <c r="Y253" i="4"/>
  <c r="Y252" i="4"/>
  <c r="Y251" i="4"/>
  <c r="Y250" i="4"/>
  <c r="Y249" i="4"/>
  <c r="Y248" i="4"/>
  <c r="Y247" i="4"/>
  <c r="Y246" i="4"/>
  <c r="Y245" i="4"/>
  <c r="Y244" i="4"/>
  <c r="Y243" i="4"/>
  <c r="Y242" i="4"/>
  <c r="Y241" i="4"/>
  <c r="Y240" i="4"/>
  <c r="Y239" i="4"/>
  <c r="Y238" i="4"/>
  <c r="Y237" i="4"/>
  <c r="Y236" i="4"/>
  <c r="X235" i="4"/>
  <c r="W235" i="4"/>
  <c r="V235" i="4"/>
  <c r="U235" i="4"/>
  <c r="T235" i="4"/>
  <c r="S235" i="4"/>
  <c r="R235" i="4"/>
  <c r="Q235" i="4"/>
  <c r="P235" i="4"/>
  <c r="O235" i="4"/>
  <c r="N235" i="4"/>
  <c r="M235" i="4"/>
  <c r="L235" i="4"/>
  <c r="K235" i="4"/>
  <c r="J235" i="4"/>
  <c r="I235" i="4"/>
  <c r="H235" i="4"/>
  <c r="G235" i="4"/>
  <c r="F235" i="4"/>
  <c r="E235" i="4"/>
  <c r="D235" i="4"/>
  <c r="C235" i="4"/>
  <c r="B235" i="4"/>
  <c r="Y234" i="4"/>
  <c r="Y233" i="4"/>
  <c r="Y232" i="4"/>
  <c r="Y231" i="4"/>
  <c r="Y230" i="4"/>
  <c r="Y229" i="4"/>
  <c r="Y228" i="4"/>
  <c r="Y227" i="4"/>
  <c r="Y226" i="4"/>
  <c r="Y225" i="4"/>
  <c r="Y224" i="4"/>
  <c r="Y223" i="4"/>
  <c r="Y222" i="4"/>
  <c r="Y221" i="4"/>
  <c r="Y220" i="4"/>
  <c r="Y219" i="4"/>
  <c r="Y218" i="4"/>
  <c r="Y217" i="4"/>
  <c r="Y216" i="4"/>
  <c r="Y215" i="4"/>
  <c r="Y214" i="4"/>
  <c r="Y213" i="4"/>
  <c r="Y212" i="4"/>
  <c r="Y211" i="4"/>
  <c r="Y210" i="4"/>
  <c r="Y209" i="4"/>
  <c r="Y208" i="4"/>
  <c r="Y207" i="4"/>
  <c r="Y206" i="4"/>
  <c r="Y205" i="4"/>
  <c r="Y204" i="4"/>
  <c r="Y203" i="4"/>
  <c r="Y202" i="4"/>
  <c r="X201" i="4"/>
  <c r="W201" i="4"/>
  <c r="V201" i="4"/>
  <c r="U201" i="4"/>
  <c r="T201" i="4"/>
  <c r="S201" i="4"/>
  <c r="R201" i="4"/>
  <c r="Q201" i="4"/>
  <c r="P201" i="4"/>
  <c r="O201" i="4"/>
  <c r="N201" i="4"/>
  <c r="M201" i="4"/>
  <c r="L201" i="4"/>
  <c r="K201" i="4"/>
  <c r="J201" i="4"/>
  <c r="I201" i="4"/>
  <c r="H201" i="4"/>
  <c r="G201" i="4"/>
  <c r="F201" i="4"/>
  <c r="E201" i="4"/>
  <c r="D201" i="4"/>
  <c r="C201" i="4"/>
  <c r="B201" i="4"/>
  <c r="Y200" i="4"/>
  <c r="Y199" i="4"/>
  <c r="Y198" i="4"/>
  <c r="Y197" i="4"/>
  <c r="Y196" i="4"/>
  <c r="Y195" i="4"/>
  <c r="Y194" i="4"/>
  <c r="Y193" i="4"/>
  <c r="Y192" i="4"/>
  <c r="Y191" i="4"/>
  <c r="Y190" i="4"/>
  <c r="Y189" i="4"/>
  <c r="Y188" i="4"/>
  <c r="Y187" i="4"/>
  <c r="Y186" i="4"/>
  <c r="Y185" i="4"/>
  <c r="Y184" i="4"/>
  <c r="Y183" i="4"/>
  <c r="Y182" i="4"/>
  <c r="Y181" i="4"/>
  <c r="Y180" i="4"/>
  <c r="Y179" i="4"/>
  <c r="Y178" i="4"/>
  <c r="Y177" i="4"/>
  <c r="Y176" i="4"/>
  <c r="Y175" i="4"/>
  <c r="Y174" i="4"/>
  <c r="Y173" i="4"/>
  <c r="Y172" i="4"/>
  <c r="Y171" i="4"/>
  <c r="Y170" i="4"/>
  <c r="Y169" i="4"/>
  <c r="X168" i="4"/>
  <c r="W168" i="4"/>
  <c r="V168" i="4"/>
  <c r="U168" i="4"/>
  <c r="T168" i="4"/>
  <c r="S168" i="4"/>
  <c r="R168" i="4"/>
  <c r="Q168" i="4"/>
  <c r="P168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C168" i="4"/>
  <c r="B168" i="4"/>
  <c r="Y167" i="4"/>
  <c r="Y166" i="4"/>
  <c r="Y165" i="4"/>
  <c r="Y164" i="4"/>
  <c r="Y163" i="4"/>
  <c r="Y162" i="4"/>
  <c r="Y161" i="4"/>
  <c r="Y160" i="4"/>
  <c r="Y159" i="4"/>
  <c r="Y158" i="4"/>
  <c r="Y157" i="4"/>
  <c r="Y156" i="4"/>
  <c r="Y155" i="4"/>
  <c r="Y154" i="4"/>
  <c r="Y153" i="4"/>
  <c r="Y152" i="4"/>
  <c r="Y151" i="4"/>
  <c r="Y150" i="4"/>
  <c r="Y149" i="4"/>
  <c r="Y148" i="4"/>
  <c r="Y147" i="4"/>
  <c r="Y146" i="4"/>
  <c r="Y145" i="4"/>
  <c r="Y144" i="4"/>
  <c r="Y143" i="4"/>
  <c r="Y142" i="4"/>
  <c r="Y141" i="4"/>
  <c r="Y140" i="4"/>
  <c r="Y139" i="4"/>
  <c r="Y138" i="4"/>
  <c r="Y137" i="4"/>
  <c r="Y136" i="4"/>
  <c r="Y135" i="4"/>
  <c r="X134" i="4"/>
  <c r="W134" i="4"/>
  <c r="V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B134" i="4"/>
  <c r="Y133" i="4"/>
  <c r="Y132" i="4"/>
  <c r="Y131" i="4"/>
  <c r="Y130" i="4"/>
  <c r="Y129" i="4"/>
  <c r="Y128" i="4"/>
  <c r="Y127" i="4"/>
  <c r="Y126" i="4"/>
  <c r="Y125" i="4"/>
  <c r="Y124" i="4"/>
  <c r="Y123" i="4"/>
  <c r="Y122" i="4"/>
  <c r="Y121" i="4"/>
  <c r="Y120" i="4"/>
  <c r="Y119" i="4"/>
  <c r="Y118" i="4"/>
  <c r="Y117" i="4"/>
  <c r="Y116" i="4"/>
  <c r="Y115" i="4"/>
  <c r="Y114" i="4"/>
  <c r="Y113" i="4"/>
  <c r="Y112" i="4"/>
  <c r="Y111" i="4"/>
  <c r="Y110" i="4"/>
  <c r="Y109" i="4"/>
  <c r="Y108" i="4"/>
  <c r="Y107" i="4"/>
  <c r="Y106" i="4"/>
  <c r="Y105" i="4"/>
  <c r="Y104" i="4"/>
  <c r="Y103" i="4"/>
  <c r="Y102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B101" i="4"/>
  <c r="Y100" i="4"/>
  <c r="Y99" i="4"/>
  <c r="Y98" i="4"/>
  <c r="Y97" i="4"/>
  <c r="Y96" i="4"/>
  <c r="Y95" i="4"/>
  <c r="Y94" i="4"/>
  <c r="Y93" i="4"/>
  <c r="Y92" i="4"/>
  <c r="Y91" i="4"/>
  <c r="Y90" i="4"/>
  <c r="Y89" i="4"/>
  <c r="Y88" i="4"/>
  <c r="Y87" i="4"/>
  <c r="Y86" i="4"/>
  <c r="Y85" i="4"/>
  <c r="Y84" i="4"/>
  <c r="Y83" i="4"/>
  <c r="Y82" i="4"/>
  <c r="Y81" i="4"/>
  <c r="Y80" i="4"/>
  <c r="Y79" i="4"/>
  <c r="Y78" i="4"/>
  <c r="Y77" i="4"/>
  <c r="Y76" i="4"/>
  <c r="Y75" i="4"/>
  <c r="Y74" i="4"/>
  <c r="Y73" i="4"/>
  <c r="Y72" i="4"/>
  <c r="Y71" i="4"/>
  <c r="Y70" i="4"/>
  <c r="Y69" i="4"/>
  <c r="Y68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Y66" i="4"/>
  <c r="Y65" i="4"/>
  <c r="Y64" i="4"/>
  <c r="Y63" i="4"/>
  <c r="Y62" i="4"/>
  <c r="Y61" i="4"/>
  <c r="Y60" i="4"/>
  <c r="Y59" i="4"/>
  <c r="Y58" i="4"/>
  <c r="Y57" i="4"/>
  <c r="Y56" i="4"/>
  <c r="Y55" i="4"/>
  <c r="Y54" i="4"/>
  <c r="Y53" i="4"/>
  <c r="Y52" i="4"/>
  <c r="Y51" i="4"/>
  <c r="Y50" i="4"/>
  <c r="Y49" i="4"/>
  <c r="Y48" i="4"/>
  <c r="Y47" i="4"/>
  <c r="Y46" i="4"/>
  <c r="Y45" i="4"/>
  <c r="Y44" i="4"/>
  <c r="Y43" i="4"/>
  <c r="Y42" i="4"/>
  <c r="Y41" i="4"/>
  <c r="Y40" i="4"/>
  <c r="Y39" i="4"/>
  <c r="Y38" i="4"/>
  <c r="Y37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Y35" i="4"/>
  <c r="Y34" i="4"/>
  <c r="Y33" i="4"/>
  <c r="X32" i="4"/>
  <c r="Y32" i="4" s="1"/>
  <c r="Y31" i="4"/>
  <c r="X30" i="4"/>
  <c r="Y30" i="4" s="1"/>
  <c r="Y29" i="4"/>
  <c r="Y28" i="4"/>
  <c r="Y27" i="4"/>
  <c r="Y26" i="4"/>
  <c r="Y25" i="4"/>
  <c r="Y24" i="4"/>
  <c r="Y23" i="4"/>
  <c r="Y22" i="4"/>
  <c r="Y21" i="4"/>
  <c r="Y20" i="4"/>
  <c r="X19" i="4"/>
  <c r="Y18" i="4"/>
  <c r="Y17" i="4"/>
  <c r="Y16" i="4"/>
  <c r="Y15" i="4"/>
  <c r="Y14" i="4"/>
  <c r="Y13" i="4"/>
  <c r="Y12" i="4"/>
  <c r="Y11" i="4"/>
  <c r="Y10" i="4"/>
  <c r="Y9" i="4"/>
  <c r="Y8" i="4"/>
  <c r="Y7" i="4"/>
  <c r="Y6" i="4"/>
  <c r="Y5" i="4"/>
  <c r="Y4" i="4"/>
  <c r="AU8" i="1"/>
  <c r="AV8" i="1"/>
  <c r="AU9" i="1"/>
  <c r="AV9" i="1"/>
  <c r="AQ8" i="1"/>
  <c r="AR8" i="1"/>
  <c r="AQ9" i="1"/>
  <c r="AR9" i="1"/>
  <c r="AM8" i="1"/>
  <c r="AN8" i="1"/>
  <c r="AM9" i="1"/>
  <c r="AN9" i="1"/>
  <c r="AM10" i="1"/>
  <c r="AN10" i="1"/>
  <c r="AI8" i="1"/>
  <c r="AJ8" i="1"/>
  <c r="AI9" i="1"/>
  <c r="AJ9" i="1"/>
  <c r="AE8" i="1"/>
  <c r="AF8" i="1"/>
  <c r="AE9" i="1"/>
  <c r="AF9" i="1"/>
  <c r="AA8" i="1"/>
  <c r="AB8" i="1"/>
  <c r="AA9" i="1"/>
  <c r="AB9" i="1"/>
  <c r="W8" i="1"/>
  <c r="X8" i="1"/>
  <c r="W9" i="1"/>
  <c r="X9" i="1"/>
  <c r="S8" i="1"/>
  <c r="T8" i="1"/>
  <c r="S9" i="1"/>
  <c r="T9" i="1"/>
  <c r="O8" i="1"/>
  <c r="P8" i="1"/>
  <c r="K8" i="1"/>
  <c r="L8" i="1"/>
  <c r="K9" i="1"/>
  <c r="L9" i="1"/>
  <c r="G8" i="1"/>
  <c r="H8" i="1"/>
  <c r="C8" i="1"/>
  <c r="D8" i="1"/>
  <c r="AY123" i="1"/>
  <c r="AZ123" i="1"/>
  <c r="AT135" i="1"/>
  <c r="AT134" i="1"/>
  <c r="AT132" i="1"/>
  <c r="AT123" i="1"/>
  <c r="AP135" i="1"/>
  <c r="AP134" i="1"/>
  <c r="AP132" i="1"/>
  <c r="AP123" i="1"/>
  <c r="AL135" i="1"/>
  <c r="AL134" i="1"/>
  <c r="AL132" i="1"/>
  <c r="AL123" i="1"/>
  <c r="AH135" i="1"/>
  <c r="AH134" i="1"/>
  <c r="AH132" i="1"/>
  <c r="AH123" i="1"/>
  <c r="AD135" i="1"/>
  <c r="AD134" i="1"/>
  <c r="AD132" i="1"/>
  <c r="AD123" i="1"/>
  <c r="Z135" i="1"/>
  <c r="Z134" i="1"/>
  <c r="Z132" i="1"/>
  <c r="Z123" i="1"/>
  <c r="V135" i="1"/>
  <c r="V134" i="1"/>
  <c r="V132" i="1"/>
  <c r="V123" i="1"/>
  <c r="R135" i="1"/>
  <c r="R134" i="1"/>
  <c r="R132" i="1"/>
  <c r="R123" i="1"/>
  <c r="N135" i="1"/>
  <c r="N134" i="1"/>
  <c r="N132" i="1"/>
  <c r="N123" i="1"/>
  <c r="J135" i="1"/>
  <c r="J134" i="1"/>
  <c r="J123" i="1"/>
  <c r="B152" i="3"/>
  <c r="C87" i="3"/>
  <c r="C154" i="3" s="1"/>
  <c r="D87" i="3"/>
  <c r="D154" i="3" s="1"/>
  <c r="E87" i="3"/>
  <c r="F87" i="3"/>
  <c r="F154" i="3" s="1"/>
  <c r="G87" i="3"/>
  <c r="G154" i="3" s="1"/>
  <c r="H87" i="3"/>
  <c r="I87" i="3"/>
  <c r="I154" i="3" s="1"/>
  <c r="J87" i="3"/>
  <c r="J154" i="3" s="1"/>
  <c r="K87" i="3"/>
  <c r="L87" i="3"/>
  <c r="L154" i="3" s="1"/>
  <c r="M87" i="3"/>
  <c r="M154" i="3" s="1"/>
  <c r="N87" i="3"/>
  <c r="O87" i="3"/>
  <c r="O154" i="3" s="1"/>
  <c r="P87" i="3"/>
  <c r="P154" i="3" s="1"/>
  <c r="Q87" i="3"/>
  <c r="R87" i="3"/>
  <c r="R154" i="3" s="1"/>
  <c r="S87" i="3"/>
  <c r="S154" i="3" s="1"/>
  <c r="T87" i="3"/>
  <c r="U87" i="3"/>
  <c r="U154" i="3" s="1"/>
  <c r="V87" i="3"/>
  <c r="V154" i="3" s="1"/>
  <c r="W87" i="3"/>
  <c r="X87" i="3"/>
  <c r="X154" i="3" s="1"/>
  <c r="Y87" i="3"/>
  <c r="Y154" i="3" s="1"/>
  <c r="Z87" i="3"/>
  <c r="AA87" i="3"/>
  <c r="AA154" i="3" s="1"/>
  <c r="AB87" i="3"/>
  <c r="AB154" i="3" s="1"/>
  <c r="AC87" i="3"/>
  <c r="AD87" i="3"/>
  <c r="AD154" i="3" s="1"/>
  <c r="AE87" i="3"/>
  <c r="AE154" i="3" s="1"/>
  <c r="AF87" i="3"/>
  <c r="AG87" i="3"/>
  <c r="AG154" i="3" s="1"/>
  <c r="AH87" i="3"/>
  <c r="AH154" i="3" s="1"/>
  <c r="AI87" i="3"/>
  <c r="B87" i="3"/>
  <c r="C249" i="3"/>
  <c r="D249" i="3"/>
  <c r="E249" i="3"/>
  <c r="F249" i="3"/>
  <c r="G249" i="3"/>
  <c r="H249" i="3"/>
  <c r="I249" i="3"/>
  <c r="J249" i="3"/>
  <c r="K249" i="3"/>
  <c r="L249" i="3"/>
  <c r="M249" i="3"/>
  <c r="N249" i="3"/>
  <c r="O249" i="3"/>
  <c r="P249" i="3"/>
  <c r="Q249" i="3"/>
  <c r="R249" i="3"/>
  <c r="S249" i="3"/>
  <c r="T249" i="3"/>
  <c r="U249" i="3"/>
  <c r="V249" i="3"/>
  <c r="W249" i="3"/>
  <c r="X249" i="3"/>
  <c r="Y249" i="3"/>
  <c r="Z249" i="3"/>
  <c r="AA249" i="3"/>
  <c r="AB249" i="3"/>
  <c r="AC249" i="3"/>
  <c r="AD249" i="3"/>
  <c r="AE249" i="3"/>
  <c r="AF249" i="3"/>
  <c r="AG249" i="3"/>
  <c r="AH249" i="3"/>
  <c r="AI249" i="3"/>
  <c r="B249" i="3"/>
  <c r="C241" i="3"/>
  <c r="D241" i="3"/>
  <c r="E241" i="3"/>
  <c r="F241" i="3"/>
  <c r="G241" i="3"/>
  <c r="H241" i="3"/>
  <c r="I241" i="3"/>
  <c r="J241" i="3"/>
  <c r="K241" i="3"/>
  <c r="L241" i="3"/>
  <c r="M241" i="3"/>
  <c r="N241" i="3"/>
  <c r="O241" i="3"/>
  <c r="P241" i="3"/>
  <c r="Q241" i="3"/>
  <c r="R241" i="3"/>
  <c r="S241" i="3"/>
  <c r="T241" i="3"/>
  <c r="U241" i="3"/>
  <c r="V241" i="3"/>
  <c r="W241" i="3"/>
  <c r="X241" i="3"/>
  <c r="Y241" i="3"/>
  <c r="Z241" i="3"/>
  <c r="AA241" i="3"/>
  <c r="AB241" i="3"/>
  <c r="AC241" i="3"/>
  <c r="AD241" i="3"/>
  <c r="AE241" i="3"/>
  <c r="AF241" i="3"/>
  <c r="AG241" i="3"/>
  <c r="AH241" i="3"/>
  <c r="AI241" i="3"/>
  <c r="B241" i="3"/>
  <c r="C231" i="3"/>
  <c r="D231" i="3"/>
  <c r="E231" i="3"/>
  <c r="F231" i="3"/>
  <c r="G231" i="3"/>
  <c r="H231" i="3"/>
  <c r="I231" i="3"/>
  <c r="J231" i="3"/>
  <c r="K231" i="3"/>
  <c r="L231" i="3"/>
  <c r="M231" i="3"/>
  <c r="N231" i="3"/>
  <c r="O231" i="3"/>
  <c r="P231" i="3"/>
  <c r="Q231" i="3"/>
  <c r="R231" i="3"/>
  <c r="S231" i="3"/>
  <c r="T231" i="3"/>
  <c r="U231" i="3"/>
  <c r="V231" i="3"/>
  <c r="W231" i="3"/>
  <c r="X231" i="3"/>
  <c r="Y231" i="3"/>
  <c r="Z231" i="3"/>
  <c r="AA231" i="3"/>
  <c r="AB231" i="3"/>
  <c r="AC231" i="3"/>
  <c r="AD231" i="3"/>
  <c r="AE231" i="3"/>
  <c r="AF231" i="3"/>
  <c r="AG231" i="3"/>
  <c r="AH231" i="3"/>
  <c r="AI231" i="3"/>
  <c r="B231" i="3"/>
  <c r="C221" i="3"/>
  <c r="D221" i="3"/>
  <c r="E221" i="3"/>
  <c r="F221" i="3"/>
  <c r="G221" i="3"/>
  <c r="H221" i="3"/>
  <c r="I221" i="3"/>
  <c r="J221" i="3"/>
  <c r="K221" i="3"/>
  <c r="L221" i="3"/>
  <c r="M221" i="3"/>
  <c r="N221" i="3"/>
  <c r="O221" i="3"/>
  <c r="P221" i="3"/>
  <c r="Q221" i="3"/>
  <c r="R221" i="3"/>
  <c r="S221" i="3"/>
  <c r="T221" i="3"/>
  <c r="U221" i="3"/>
  <c r="V221" i="3"/>
  <c r="W221" i="3"/>
  <c r="X221" i="3"/>
  <c r="Y221" i="3"/>
  <c r="Z221" i="3"/>
  <c r="AA221" i="3"/>
  <c r="AB221" i="3"/>
  <c r="AC221" i="3"/>
  <c r="AD221" i="3"/>
  <c r="AE221" i="3"/>
  <c r="AF221" i="3"/>
  <c r="AG221" i="3"/>
  <c r="AH221" i="3"/>
  <c r="AI221" i="3"/>
  <c r="B221" i="3"/>
  <c r="C212" i="3"/>
  <c r="D212" i="3"/>
  <c r="E212" i="3"/>
  <c r="F212" i="3"/>
  <c r="G212" i="3"/>
  <c r="I212" i="3"/>
  <c r="J212" i="3"/>
  <c r="K212" i="3"/>
  <c r="L212" i="3"/>
  <c r="M212" i="3"/>
  <c r="N212" i="3"/>
  <c r="O212" i="3"/>
  <c r="P212" i="3"/>
  <c r="Q212" i="3"/>
  <c r="R212" i="3"/>
  <c r="S212" i="3"/>
  <c r="T212" i="3"/>
  <c r="U212" i="3"/>
  <c r="V212" i="3"/>
  <c r="W212" i="3"/>
  <c r="X212" i="3"/>
  <c r="Y212" i="3"/>
  <c r="Z212" i="3"/>
  <c r="AA212" i="3"/>
  <c r="AB212" i="3"/>
  <c r="AC212" i="3"/>
  <c r="AD212" i="3"/>
  <c r="AE212" i="3"/>
  <c r="AF212" i="3"/>
  <c r="AG212" i="3"/>
  <c r="AH212" i="3"/>
  <c r="AI212" i="3"/>
  <c r="B212" i="3"/>
  <c r="H78" i="1"/>
  <c r="G78" i="1"/>
  <c r="K63" i="1"/>
  <c r="L63" i="1"/>
  <c r="AZ92" i="1"/>
  <c r="AZ93" i="1"/>
  <c r="AZ94" i="1"/>
  <c r="AZ96" i="1"/>
  <c r="AZ98" i="1"/>
  <c r="B123" i="1"/>
  <c r="B55" i="1"/>
  <c r="B79" i="1"/>
  <c r="B73" i="1"/>
  <c r="B74" i="1"/>
  <c r="B75" i="1"/>
  <c r="B76" i="1"/>
  <c r="B65" i="1"/>
  <c r="B60" i="1"/>
  <c r="B38" i="1"/>
  <c r="B42" i="1"/>
  <c r="B44" i="1"/>
  <c r="H5" i="1"/>
  <c r="AF26" i="1"/>
  <c r="AE26" i="1"/>
  <c r="AF23" i="1"/>
  <c r="AE23" i="1"/>
  <c r="AF22" i="1"/>
  <c r="AE22" i="1"/>
  <c r="AG89" i="1"/>
  <c r="M89" i="1"/>
  <c r="AW102" i="1"/>
  <c r="AS102" i="1"/>
  <c r="AO102" i="1"/>
  <c r="AK102" i="1"/>
  <c r="AG102" i="1"/>
  <c r="AC102" i="1"/>
  <c r="Y102" i="1"/>
  <c r="U102" i="1"/>
  <c r="Q102" i="1"/>
  <c r="M102" i="1"/>
  <c r="I102" i="1"/>
  <c r="E102" i="1"/>
  <c r="AW111" i="1"/>
  <c r="AO111" i="1"/>
  <c r="AC111" i="1"/>
  <c r="Y111" i="1"/>
  <c r="M111" i="1"/>
  <c r="D115" i="1"/>
  <c r="C115" i="1"/>
  <c r="D114" i="1"/>
  <c r="C114" i="1"/>
  <c r="D110" i="1"/>
  <c r="C110" i="1"/>
  <c r="D108" i="1"/>
  <c r="C108" i="1"/>
  <c r="D107" i="1"/>
  <c r="C107" i="1"/>
  <c r="D106" i="1"/>
  <c r="C106" i="1"/>
  <c r="D105" i="1"/>
  <c r="C105" i="1"/>
  <c r="D104" i="1"/>
  <c r="C104" i="1"/>
  <c r="H115" i="1"/>
  <c r="G115" i="1"/>
  <c r="H114" i="1"/>
  <c r="G114" i="1"/>
  <c r="H110" i="1"/>
  <c r="G110" i="1"/>
  <c r="H108" i="1"/>
  <c r="G108" i="1"/>
  <c r="H107" i="1"/>
  <c r="G107" i="1"/>
  <c r="H106" i="1"/>
  <c r="G106" i="1"/>
  <c r="H105" i="1"/>
  <c r="G105" i="1"/>
  <c r="H104" i="1"/>
  <c r="G104" i="1"/>
  <c r="L115" i="1"/>
  <c r="K115" i="1"/>
  <c r="L114" i="1"/>
  <c r="K114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P115" i="1"/>
  <c r="O115" i="1"/>
  <c r="P114" i="1"/>
  <c r="O114" i="1"/>
  <c r="P110" i="1"/>
  <c r="O110" i="1"/>
  <c r="P108" i="1"/>
  <c r="O108" i="1"/>
  <c r="P107" i="1"/>
  <c r="O107" i="1"/>
  <c r="P106" i="1"/>
  <c r="O106" i="1"/>
  <c r="P105" i="1"/>
  <c r="O105" i="1"/>
  <c r="P104" i="1"/>
  <c r="O104" i="1"/>
  <c r="T115" i="1"/>
  <c r="S115" i="1"/>
  <c r="T114" i="1"/>
  <c r="S114" i="1"/>
  <c r="T110" i="1"/>
  <c r="S110" i="1"/>
  <c r="T109" i="1"/>
  <c r="S109" i="1"/>
  <c r="T108" i="1"/>
  <c r="S108" i="1"/>
  <c r="T107" i="1"/>
  <c r="S107" i="1"/>
  <c r="T105" i="1"/>
  <c r="S105" i="1"/>
  <c r="T104" i="1"/>
  <c r="S104" i="1"/>
  <c r="X115" i="1"/>
  <c r="W115" i="1"/>
  <c r="X114" i="1"/>
  <c r="W114" i="1"/>
  <c r="X110" i="1"/>
  <c r="W110" i="1"/>
  <c r="X109" i="1"/>
  <c r="W109" i="1"/>
  <c r="X108" i="1"/>
  <c r="W108" i="1"/>
  <c r="X107" i="1"/>
  <c r="W107" i="1"/>
  <c r="X106" i="1"/>
  <c r="W106" i="1"/>
  <c r="X105" i="1"/>
  <c r="W105" i="1"/>
  <c r="X104" i="1"/>
  <c r="W104" i="1"/>
  <c r="AB115" i="1"/>
  <c r="AA115" i="1"/>
  <c r="AB114" i="1"/>
  <c r="AA114" i="1"/>
  <c r="AB110" i="1"/>
  <c r="AA110" i="1"/>
  <c r="AB109" i="1"/>
  <c r="AA109" i="1"/>
  <c r="AB108" i="1"/>
  <c r="AA108" i="1"/>
  <c r="AB107" i="1"/>
  <c r="AA107" i="1"/>
  <c r="AB106" i="1"/>
  <c r="AA106" i="1"/>
  <c r="AB105" i="1"/>
  <c r="AA105" i="1"/>
  <c r="AB104" i="1"/>
  <c r="AA104" i="1"/>
  <c r="AF115" i="1"/>
  <c r="AE115" i="1"/>
  <c r="AF114" i="1"/>
  <c r="AE114" i="1"/>
  <c r="AF110" i="1"/>
  <c r="AE110" i="1"/>
  <c r="AF108" i="1"/>
  <c r="AE108" i="1"/>
  <c r="AF107" i="1"/>
  <c r="AE107" i="1"/>
  <c r="AF106" i="1"/>
  <c r="AE106" i="1"/>
  <c r="AF105" i="1"/>
  <c r="AE105" i="1"/>
  <c r="AF104" i="1"/>
  <c r="AE104" i="1"/>
  <c r="AJ115" i="1"/>
  <c r="AI115" i="1"/>
  <c r="AJ114" i="1"/>
  <c r="AI114" i="1"/>
  <c r="AJ110" i="1"/>
  <c r="AI110" i="1"/>
  <c r="AJ108" i="1"/>
  <c r="AI108" i="1"/>
  <c r="AJ107" i="1"/>
  <c r="AI107" i="1"/>
  <c r="AJ105" i="1"/>
  <c r="AI105" i="1"/>
  <c r="AJ104" i="1"/>
  <c r="AI104" i="1"/>
  <c r="AN115" i="1"/>
  <c r="AM115" i="1"/>
  <c r="AN114" i="1"/>
  <c r="AM114" i="1"/>
  <c r="AN110" i="1"/>
  <c r="AM110" i="1"/>
  <c r="AN108" i="1"/>
  <c r="AM108" i="1"/>
  <c r="AN107" i="1"/>
  <c r="AM107" i="1"/>
  <c r="AN106" i="1"/>
  <c r="AM106" i="1"/>
  <c r="AN105" i="1"/>
  <c r="AM105" i="1"/>
  <c r="AN104" i="1"/>
  <c r="AM104" i="1"/>
  <c r="AR114" i="1"/>
  <c r="AQ114" i="1"/>
  <c r="AR110" i="1"/>
  <c r="AQ110" i="1"/>
  <c r="AR108" i="1"/>
  <c r="AQ108" i="1"/>
  <c r="AR107" i="1"/>
  <c r="AQ107" i="1"/>
  <c r="AR106" i="1"/>
  <c r="AQ106" i="1"/>
  <c r="AR105" i="1"/>
  <c r="AQ105" i="1"/>
  <c r="AR104" i="1"/>
  <c r="AQ104" i="1"/>
  <c r="AV115" i="1"/>
  <c r="AU115" i="1"/>
  <c r="AV114" i="1"/>
  <c r="AU114" i="1"/>
  <c r="AV110" i="1"/>
  <c r="AU110" i="1"/>
  <c r="AV109" i="1"/>
  <c r="AU109" i="1"/>
  <c r="AV108" i="1"/>
  <c r="AU108" i="1"/>
  <c r="AV107" i="1"/>
  <c r="AU107" i="1"/>
  <c r="AV106" i="1"/>
  <c r="AU106" i="1"/>
  <c r="AV105" i="1"/>
  <c r="AU105" i="1"/>
  <c r="AV104" i="1"/>
  <c r="AU104" i="1"/>
  <c r="AQ115" i="1"/>
  <c r="AQ109" i="1"/>
  <c r="AN109" i="1"/>
  <c r="AI109" i="1"/>
  <c r="AI106" i="1"/>
  <c r="AF109" i="1"/>
  <c r="S106" i="1"/>
  <c r="P109" i="1"/>
  <c r="H109" i="1"/>
  <c r="H99" i="1"/>
  <c r="G99" i="1"/>
  <c r="L99" i="1"/>
  <c r="K99" i="1"/>
  <c r="P99" i="1"/>
  <c r="O99" i="1"/>
  <c r="T99" i="1"/>
  <c r="S99" i="1"/>
  <c r="X99" i="1"/>
  <c r="W99" i="1"/>
  <c r="AB99" i="1"/>
  <c r="AA99" i="1"/>
  <c r="AF99" i="1"/>
  <c r="AE99" i="1"/>
  <c r="AJ99" i="1"/>
  <c r="AI99" i="1"/>
  <c r="AN99" i="1"/>
  <c r="AM99" i="1"/>
  <c r="AR99" i="1"/>
  <c r="AQ99" i="1"/>
  <c r="AV99" i="1"/>
  <c r="AU99" i="1"/>
  <c r="D95" i="1"/>
  <c r="C95" i="1"/>
  <c r="H95" i="1"/>
  <c r="H102" i="1" s="1"/>
  <c r="G95" i="1"/>
  <c r="G102" i="1" s="1"/>
  <c r="L95" i="1"/>
  <c r="K95" i="1"/>
  <c r="P95" i="1"/>
  <c r="P102" i="1" s="1"/>
  <c r="O95" i="1"/>
  <c r="O102" i="1" s="1"/>
  <c r="T95" i="1"/>
  <c r="T102" i="1" s="1"/>
  <c r="S95" i="1"/>
  <c r="S102" i="1" s="1"/>
  <c r="X95" i="1"/>
  <c r="X102" i="1" s="1"/>
  <c r="W95" i="1"/>
  <c r="W102" i="1" s="1"/>
  <c r="AB95" i="1"/>
  <c r="AB102" i="1" s="1"/>
  <c r="AA95" i="1"/>
  <c r="AA102" i="1" s="1"/>
  <c r="AF95" i="1"/>
  <c r="AF102" i="1" s="1"/>
  <c r="AE95" i="1"/>
  <c r="AE102" i="1" s="1"/>
  <c r="AJ95" i="1"/>
  <c r="AJ102" i="1" s="1"/>
  <c r="AI95" i="1"/>
  <c r="AI102" i="1" s="1"/>
  <c r="AN95" i="1"/>
  <c r="AN102" i="1" s="1"/>
  <c r="AM95" i="1"/>
  <c r="AM102" i="1" s="1"/>
  <c r="AR95" i="1"/>
  <c r="AR102" i="1" s="1"/>
  <c r="AQ95" i="1"/>
  <c r="AV95" i="1"/>
  <c r="AV102" i="1" s="1"/>
  <c r="AU95" i="1"/>
  <c r="AU102" i="1" s="1"/>
  <c r="AS89" i="1"/>
  <c r="Y89" i="1"/>
  <c r="AZ54" i="2"/>
  <c r="AY54" i="2"/>
  <c r="AY53" i="2"/>
  <c r="AZ52" i="2"/>
  <c r="AY52" i="2"/>
  <c r="AZ51" i="2"/>
  <c r="AY51" i="2"/>
  <c r="AY50" i="2"/>
  <c r="AZ49" i="2"/>
  <c r="AY49" i="2"/>
  <c r="AZ48" i="2"/>
  <c r="AY48" i="2"/>
  <c r="AY47" i="2"/>
  <c r="AZ46" i="2"/>
  <c r="AY46" i="2"/>
  <c r="AZ45" i="2"/>
  <c r="AY45" i="2"/>
  <c r="AY44" i="2"/>
  <c r="AZ43" i="2"/>
  <c r="AY43" i="2"/>
  <c r="AZ42" i="2"/>
  <c r="AY42" i="2"/>
  <c r="AY41" i="2"/>
  <c r="AY40" i="2"/>
  <c r="AZ39" i="2"/>
  <c r="AY39" i="2"/>
  <c r="AZ38" i="2"/>
  <c r="AY38" i="2"/>
  <c r="AZ37" i="2"/>
  <c r="AY37" i="2"/>
  <c r="AZ36" i="2"/>
  <c r="AY36" i="2"/>
  <c r="AZ35" i="2"/>
  <c r="AY35" i="2"/>
  <c r="AY34" i="2"/>
  <c r="AZ33" i="2"/>
  <c r="AY33" i="2"/>
  <c r="AZ32" i="2"/>
  <c r="AY32" i="2"/>
  <c r="AY31" i="2"/>
  <c r="AZ30" i="2"/>
  <c r="AY30" i="2"/>
  <c r="AZ29" i="2"/>
  <c r="AY29" i="2"/>
  <c r="AY28" i="2"/>
  <c r="AZ27" i="2"/>
  <c r="AY27" i="2"/>
  <c r="AZ26" i="2"/>
  <c r="AY26" i="2"/>
  <c r="AY25" i="2"/>
  <c r="AZ24" i="2"/>
  <c r="AY24" i="2"/>
  <c r="AZ23" i="2"/>
  <c r="AY23" i="2"/>
  <c r="AY22" i="2"/>
  <c r="AZ19" i="2"/>
  <c r="AY19" i="2"/>
  <c r="AZ18" i="2"/>
  <c r="AY18" i="2"/>
  <c r="AZ17" i="2"/>
  <c r="AY17" i="2"/>
  <c r="AZ16" i="2"/>
  <c r="AY16" i="2"/>
  <c r="AZ15" i="2"/>
  <c r="AY15" i="2"/>
  <c r="AZ14" i="2"/>
  <c r="AY14" i="2"/>
  <c r="AZ13" i="2"/>
  <c r="AY13" i="2"/>
  <c r="AZ12" i="2"/>
  <c r="AY12" i="2"/>
  <c r="AZ11" i="2"/>
  <c r="AY11" i="2"/>
  <c r="AZ10" i="2"/>
  <c r="AY10" i="2"/>
  <c r="AZ9" i="2"/>
  <c r="AY9" i="2"/>
  <c r="AZ8" i="2"/>
  <c r="AY8" i="2"/>
  <c r="AZ7" i="2"/>
  <c r="AY7" i="2"/>
  <c r="AZ6" i="2"/>
  <c r="AY6" i="2"/>
  <c r="AZ5" i="2"/>
  <c r="AY5" i="2"/>
  <c r="AZ4" i="2"/>
  <c r="AY4" i="2"/>
  <c r="AW82" i="1"/>
  <c r="AS82" i="1"/>
  <c r="AO82" i="1"/>
  <c r="AK82" i="1"/>
  <c r="AG82" i="1"/>
  <c r="AC82" i="1"/>
  <c r="Y82" i="1"/>
  <c r="U82" i="1"/>
  <c r="Q82" i="1"/>
  <c r="M82" i="1"/>
  <c r="I82" i="1"/>
  <c r="E82" i="1"/>
  <c r="AV78" i="1"/>
  <c r="AU78" i="1"/>
  <c r="AR78" i="1"/>
  <c r="AQ78" i="1"/>
  <c r="AN78" i="1"/>
  <c r="AM78" i="1"/>
  <c r="AJ78" i="1"/>
  <c r="AI78" i="1"/>
  <c r="AF78" i="1"/>
  <c r="AE78" i="1"/>
  <c r="AB78" i="1"/>
  <c r="AA78" i="1"/>
  <c r="X78" i="1"/>
  <c r="W78" i="1"/>
  <c r="T78" i="1"/>
  <c r="S78" i="1"/>
  <c r="P78" i="1"/>
  <c r="O78" i="1"/>
  <c r="L78" i="1"/>
  <c r="K78" i="1"/>
  <c r="D78" i="1"/>
  <c r="C78" i="1"/>
  <c r="AV63" i="1"/>
  <c r="AU63" i="1"/>
  <c r="AR63" i="1"/>
  <c r="AQ63" i="1"/>
  <c r="AN63" i="1"/>
  <c r="AM63" i="1"/>
  <c r="AJ63" i="1"/>
  <c r="AI63" i="1"/>
  <c r="AF63" i="1"/>
  <c r="AE63" i="1"/>
  <c r="AB63" i="1"/>
  <c r="AA63" i="1"/>
  <c r="X63" i="1"/>
  <c r="W63" i="1"/>
  <c r="T63" i="1"/>
  <c r="S63" i="1"/>
  <c r="P63" i="1"/>
  <c r="O63" i="1"/>
  <c r="H63" i="1"/>
  <c r="G63" i="1"/>
  <c r="D63" i="1"/>
  <c r="C63" i="1"/>
  <c r="AV41" i="1"/>
  <c r="AU41" i="1"/>
  <c r="AR41" i="1"/>
  <c r="AQ41" i="1"/>
  <c r="AN41" i="1"/>
  <c r="AM41" i="1"/>
  <c r="AJ41" i="1"/>
  <c r="AI41" i="1"/>
  <c r="AF41" i="1"/>
  <c r="AE41" i="1"/>
  <c r="AB41" i="1"/>
  <c r="AA41" i="1"/>
  <c r="X41" i="1"/>
  <c r="W41" i="1"/>
  <c r="T41" i="1"/>
  <c r="S41" i="1"/>
  <c r="P41" i="1"/>
  <c r="O41" i="1"/>
  <c r="L41" i="1"/>
  <c r="K41" i="1"/>
  <c r="H41" i="1"/>
  <c r="G41" i="1"/>
  <c r="AV26" i="1"/>
  <c r="AU26" i="1"/>
  <c r="AV23" i="1"/>
  <c r="AU23" i="1"/>
  <c r="AV22" i="1"/>
  <c r="AU22" i="1"/>
  <c r="AR26" i="1"/>
  <c r="AQ26" i="1"/>
  <c r="AR23" i="1"/>
  <c r="AQ23" i="1"/>
  <c r="AR22" i="1"/>
  <c r="AQ22" i="1"/>
  <c r="AN26" i="1"/>
  <c r="AM26" i="1"/>
  <c r="AN23" i="1"/>
  <c r="AM23" i="1"/>
  <c r="AN22" i="1"/>
  <c r="AM22" i="1"/>
  <c r="AJ26" i="1"/>
  <c r="AI26" i="1"/>
  <c r="AJ23" i="1"/>
  <c r="AI23" i="1"/>
  <c r="AJ22" i="1"/>
  <c r="AI22" i="1"/>
  <c r="AB26" i="1"/>
  <c r="AA26" i="1"/>
  <c r="AB23" i="1"/>
  <c r="AA23" i="1"/>
  <c r="AB22" i="1"/>
  <c r="AA22" i="1"/>
  <c r="X26" i="1"/>
  <c r="W26" i="1"/>
  <c r="X23" i="1"/>
  <c r="W23" i="1"/>
  <c r="X22" i="1"/>
  <c r="W22" i="1"/>
  <c r="T26" i="1"/>
  <c r="S26" i="1"/>
  <c r="T23" i="1"/>
  <c r="S23" i="1"/>
  <c r="T22" i="1"/>
  <c r="S22" i="1"/>
  <c r="P26" i="1"/>
  <c r="O26" i="1"/>
  <c r="P23" i="1"/>
  <c r="O23" i="1"/>
  <c r="P22" i="1"/>
  <c r="O22" i="1"/>
  <c r="L26" i="1"/>
  <c r="K26" i="1"/>
  <c r="L23" i="1"/>
  <c r="K23" i="1"/>
  <c r="L22" i="1"/>
  <c r="K22" i="1"/>
  <c r="H26" i="1"/>
  <c r="G26" i="1"/>
  <c r="H23" i="1"/>
  <c r="G23" i="1"/>
  <c r="H22" i="1"/>
  <c r="G22" i="1"/>
  <c r="D26" i="1"/>
  <c r="C26" i="1"/>
  <c r="D22" i="1"/>
  <c r="C22" i="1"/>
  <c r="AW27" i="1"/>
  <c r="AS27" i="1"/>
  <c r="AO27" i="1"/>
  <c r="AK27" i="1"/>
  <c r="AG27" i="1"/>
  <c r="AC27" i="1"/>
  <c r="Y27" i="1"/>
  <c r="U27" i="1"/>
  <c r="Q27" i="1"/>
  <c r="M27" i="1"/>
  <c r="I27" i="1"/>
  <c r="AV19" i="1"/>
  <c r="AU19" i="1"/>
  <c r="AJ19" i="1"/>
  <c r="AI19" i="1"/>
  <c r="AF19" i="1"/>
  <c r="AE19" i="1"/>
  <c r="AF18" i="1"/>
  <c r="AE18" i="1"/>
  <c r="AB19" i="1"/>
  <c r="AA19" i="1"/>
  <c r="AB18" i="1"/>
  <c r="AA18" i="1"/>
  <c r="X19" i="1"/>
  <c r="W19" i="1"/>
  <c r="X18" i="1"/>
  <c r="W18" i="1"/>
  <c r="T19" i="1"/>
  <c r="L19" i="1"/>
  <c r="K19" i="1"/>
  <c r="H19" i="1"/>
  <c r="G19" i="1"/>
  <c r="H18" i="1"/>
  <c r="G18" i="1"/>
  <c r="D19" i="1"/>
  <c r="C19" i="1"/>
  <c r="AU18" i="1"/>
  <c r="AU17" i="1"/>
  <c r="AQ19" i="1"/>
  <c r="AR18" i="1"/>
  <c r="AM19" i="1"/>
  <c r="AN17" i="1"/>
  <c r="AI18" i="1"/>
  <c r="AI17" i="1"/>
  <c r="AF17" i="1"/>
  <c r="AA17" i="1"/>
  <c r="W17" i="1"/>
  <c r="S19" i="1"/>
  <c r="R19" i="1" s="1"/>
  <c r="S18" i="1"/>
  <c r="S17" i="1"/>
  <c r="O19" i="1"/>
  <c r="O18" i="1"/>
  <c r="O17" i="1"/>
  <c r="K18" i="1"/>
  <c r="K17" i="1"/>
  <c r="C18" i="1"/>
  <c r="C17" i="1"/>
  <c r="AV14" i="1"/>
  <c r="AU14" i="1"/>
  <c r="AV13" i="1"/>
  <c r="AU13" i="1"/>
  <c r="AV11" i="1"/>
  <c r="AU11" i="1"/>
  <c r="AV10" i="1"/>
  <c r="AU10" i="1"/>
  <c r="AV7" i="1"/>
  <c r="AU7" i="1"/>
  <c r="AV6" i="1"/>
  <c r="AU6" i="1"/>
  <c r="AR14" i="1"/>
  <c r="AQ14" i="1"/>
  <c r="AR11" i="1"/>
  <c r="AQ11" i="1"/>
  <c r="AR10" i="1"/>
  <c r="AQ10" i="1"/>
  <c r="AR6" i="1"/>
  <c r="AQ6" i="1"/>
  <c r="AN14" i="1"/>
  <c r="AM14" i="1"/>
  <c r="AN13" i="1"/>
  <c r="AM13" i="1"/>
  <c r="AN12" i="1"/>
  <c r="AM12" i="1"/>
  <c r="AN11" i="1"/>
  <c r="AM11" i="1"/>
  <c r="AN7" i="1"/>
  <c r="AM7" i="1"/>
  <c r="AN6" i="1"/>
  <c r="AM6" i="1"/>
  <c r="AJ14" i="1"/>
  <c r="AI14" i="1"/>
  <c r="AJ12" i="1"/>
  <c r="AI12" i="1"/>
  <c r="AJ11" i="1"/>
  <c r="AI11" i="1"/>
  <c r="AJ10" i="1"/>
  <c r="AI10" i="1"/>
  <c r="AJ7" i="1"/>
  <c r="AI7" i="1"/>
  <c r="AJ6" i="1"/>
  <c r="AI6" i="1"/>
  <c r="AF14" i="1"/>
  <c r="AE14" i="1"/>
  <c r="AF13" i="1"/>
  <c r="AE13" i="1"/>
  <c r="AF12" i="1"/>
  <c r="AE12" i="1"/>
  <c r="AF11" i="1"/>
  <c r="AE11" i="1"/>
  <c r="AF10" i="1"/>
  <c r="AE10" i="1"/>
  <c r="AF7" i="1"/>
  <c r="AE7" i="1"/>
  <c r="AF6" i="1"/>
  <c r="AE6" i="1"/>
  <c r="AF5" i="1"/>
  <c r="AE5" i="1"/>
  <c r="AB14" i="1"/>
  <c r="AA14" i="1"/>
  <c r="AB11" i="1"/>
  <c r="AA11" i="1"/>
  <c r="AB10" i="1"/>
  <c r="AA10" i="1"/>
  <c r="AB7" i="1"/>
  <c r="AA7" i="1"/>
  <c r="X14" i="1"/>
  <c r="W14" i="1"/>
  <c r="X13" i="1"/>
  <c r="W13" i="1"/>
  <c r="X11" i="1"/>
  <c r="W11" i="1"/>
  <c r="X10" i="1"/>
  <c r="W10" i="1"/>
  <c r="X7" i="1"/>
  <c r="W7" i="1"/>
  <c r="X6" i="1"/>
  <c r="W6" i="1"/>
  <c r="T13" i="1"/>
  <c r="S13" i="1"/>
  <c r="T12" i="1"/>
  <c r="S12" i="1"/>
  <c r="T11" i="1"/>
  <c r="S11" i="1"/>
  <c r="T10" i="1"/>
  <c r="S10" i="1"/>
  <c r="T6" i="1"/>
  <c r="S6" i="1"/>
  <c r="P14" i="1"/>
  <c r="O14" i="1"/>
  <c r="P12" i="1"/>
  <c r="O12" i="1"/>
  <c r="P11" i="1"/>
  <c r="O11" i="1"/>
  <c r="P10" i="1"/>
  <c r="O10" i="1"/>
  <c r="P9" i="1"/>
  <c r="O9" i="1"/>
  <c r="P7" i="1"/>
  <c r="O7" i="1"/>
  <c r="L13" i="1"/>
  <c r="K13" i="1"/>
  <c r="L12" i="1"/>
  <c r="K12" i="1"/>
  <c r="L11" i="1"/>
  <c r="K11" i="1"/>
  <c r="L10" i="1"/>
  <c r="K10" i="1"/>
  <c r="L7" i="1"/>
  <c r="K7" i="1"/>
  <c r="L6" i="1"/>
  <c r="K6" i="1"/>
  <c r="H14" i="1"/>
  <c r="G14" i="1"/>
  <c r="H13" i="1"/>
  <c r="G13" i="1"/>
  <c r="H12" i="1"/>
  <c r="G12" i="1"/>
  <c r="H11" i="1"/>
  <c r="G11" i="1"/>
  <c r="H10" i="1"/>
  <c r="G10" i="1"/>
  <c r="H9" i="1"/>
  <c r="G9" i="1"/>
  <c r="H7" i="1"/>
  <c r="G7" i="1"/>
  <c r="C7" i="1"/>
  <c r="D7" i="1"/>
  <c r="C9" i="1"/>
  <c r="D9" i="1"/>
  <c r="C10" i="1"/>
  <c r="D10" i="1"/>
  <c r="C12" i="1"/>
  <c r="D12" i="1"/>
  <c r="C13" i="1"/>
  <c r="D13" i="1"/>
  <c r="C14" i="1"/>
  <c r="D14" i="1"/>
  <c r="T14" i="1"/>
  <c r="U15" i="1"/>
  <c r="T5" i="1"/>
  <c r="AR13" i="1"/>
  <c r="AR12" i="1"/>
  <c r="AQ5" i="1"/>
  <c r="AN5" i="1"/>
  <c r="AJ13" i="1"/>
  <c r="AB13" i="1"/>
  <c r="AB12" i="1"/>
  <c r="AA6" i="1"/>
  <c r="AB5" i="1"/>
  <c r="X5" i="1"/>
  <c r="AG15" i="1"/>
  <c r="AV12" i="1"/>
  <c r="AV5" i="1"/>
  <c r="P6" i="1"/>
  <c r="P5" i="1"/>
  <c r="L5" i="1"/>
  <c r="H6" i="1"/>
  <c r="C6" i="1"/>
  <c r="D5" i="1"/>
  <c r="AT101" i="1"/>
  <c r="AT100" i="1"/>
  <c r="AT98" i="1"/>
  <c r="AT96" i="1"/>
  <c r="AT94" i="1"/>
  <c r="AT93" i="1"/>
  <c r="AT92" i="1"/>
  <c r="AP101" i="1"/>
  <c r="AP98" i="1"/>
  <c r="AP96" i="1"/>
  <c r="AP94" i="1"/>
  <c r="AP93" i="1"/>
  <c r="AP92" i="1"/>
  <c r="AL101" i="1"/>
  <c r="AL100" i="1"/>
  <c r="AL98" i="1"/>
  <c r="AL96" i="1"/>
  <c r="AL94" i="1"/>
  <c r="AL93" i="1"/>
  <c r="AL92" i="1"/>
  <c r="AH101" i="1"/>
  <c r="AH100" i="1"/>
  <c r="AH98" i="1"/>
  <c r="AH96" i="1"/>
  <c r="AH94" i="1"/>
  <c r="AH93" i="1"/>
  <c r="AH92" i="1"/>
  <c r="AD101" i="1"/>
  <c r="AD100" i="1"/>
  <c r="AD98" i="1"/>
  <c r="AD96" i="1"/>
  <c r="AD94" i="1"/>
  <c r="AD93" i="1"/>
  <c r="AD92" i="1"/>
  <c r="Z101" i="1"/>
  <c r="Z100" i="1"/>
  <c r="Z98" i="1"/>
  <c r="Z96" i="1"/>
  <c r="Z94" i="1"/>
  <c r="Z93" i="1"/>
  <c r="V101" i="1"/>
  <c r="V100" i="1"/>
  <c r="V98" i="1"/>
  <c r="V96" i="1"/>
  <c r="V94" i="1"/>
  <c r="V93" i="1"/>
  <c r="V92" i="1"/>
  <c r="AZ112" i="1"/>
  <c r="AY112" i="1"/>
  <c r="AX112" i="1"/>
  <c r="AZ103" i="1"/>
  <c r="AY103" i="1"/>
  <c r="AX103" i="1"/>
  <c r="AZ101" i="1"/>
  <c r="AY101" i="1"/>
  <c r="AZ100" i="1"/>
  <c r="AY98" i="1"/>
  <c r="AY96" i="1"/>
  <c r="AY94" i="1"/>
  <c r="AY93" i="1"/>
  <c r="AZ91" i="1"/>
  <c r="AY91" i="1"/>
  <c r="AX91" i="1"/>
  <c r="AZ81" i="1"/>
  <c r="AZ80" i="1"/>
  <c r="AY80" i="1"/>
  <c r="AZ79" i="1"/>
  <c r="AZ77" i="1"/>
  <c r="AY77" i="1"/>
  <c r="AZ76" i="1"/>
  <c r="AY76" i="1"/>
  <c r="AZ75" i="1"/>
  <c r="AY75" i="1"/>
  <c r="AZ74" i="1"/>
  <c r="AY74" i="1"/>
  <c r="AZ73" i="1"/>
  <c r="AY73" i="1"/>
  <c r="AZ72" i="1"/>
  <c r="AY72" i="1"/>
  <c r="AZ71" i="1"/>
  <c r="AY71" i="1"/>
  <c r="AZ70" i="1"/>
  <c r="AZ69" i="1"/>
  <c r="AY69" i="1"/>
  <c r="AZ68" i="1"/>
  <c r="AY68" i="1"/>
  <c r="AZ67" i="1"/>
  <c r="AY67" i="1"/>
  <c r="AZ66" i="1"/>
  <c r="AY66" i="1"/>
  <c r="AZ65" i="1"/>
  <c r="AY65" i="1"/>
  <c r="AZ64" i="1"/>
  <c r="AY64" i="1"/>
  <c r="AY62" i="1"/>
  <c r="AZ61" i="1"/>
  <c r="AY61" i="1"/>
  <c r="AZ60" i="1"/>
  <c r="AY60" i="1"/>
  <c r="AZ59" i="1"/>
  <c r="AY59" i="1"/>
  <c r="AZ58" i="1"/>
  <c r="AY58" i="1"/>
  <c r="AZ57" i="1"/>
  <c r="AY57" i="1"/>
  <c r="AZ56" i="1"/>
  <c r="AY56" i="1"/>
  <c r="AZ55" i="1"/>
  <c r="AZ54" i="1"/>
  <c r="AY54" i="1"/>
  <c r="AZ53" i="1"/>
  <c r="AY53" i="1"/>
  <c r="AZ52" i="1"/>
  <c r="AY52" i="1"/>
  <c r="AZ51" i="1"/>
  <c r="AY51" i="1"/>
  <c r="AZ50" i="1"/>
  <c r="AY50" i="1"/>
  <c r="AZ49" i="1"/>
  <c r="AZ48" i="1"/>
  <c r="AZ47" i="1"/>
  <c r="AY47" i="1"/>
  <c r="AZ46" i="1"/>
  <c r="AY46" i="1"/>
  <c r="AZ45" i="1"/>
  <c r="AY45" i="1"/>
  <c r="AZ44" i="1"/>
  <c r="AY44" i="1"/>
  <c r="AZ43" i="1"/>
  <c r="AY43" i="1"/>
  <c r="AZ42" i="1"/>
  <c r="AY42" i="1"/>
  <c r="AZ40" i="1"/>
  <c r="AY40" i="1"/>
  <c r="AZ39" i="1"/>
  <c r="AZ38" i="1"/>
  <c r="AZ37" i="1"/>
  <c r="AY37" i="1"/>
  <c r="AZ36" i="1"/>
  <c r="AY36" i="1"/>
  <c r="AZ35" i="1"/>
  <c r="AY35" i="1"/>
  <c r="AZ34" i="1"/>
  <c r="AY34" i="1"/>
  <c r="AZ32" i="1"/>
  <c r="AZ31" i="1"/>
  <c r="AZ30" i="1"/>
  <c r="F123" i="1"/>
  <c r="R101" i="1"/>
  <c r="R100" i="1"/>
  <c r="R98" i="1"/>
  <c r="R96" i="1"/>
  <c r="R94" i="1"/>
  <c r="R93" i="1"/>
  <c r="R92" i="1"/>
  <c r="N101" i="1"/>
  <c r="N100" i="1"/>
  <c r="N98" i="1"/>
  <c r="N96" i="1"/>
  <c r="N94" i="1"/>
  <c r="N93" i="1"/>
  <c r="N92" i="1"/>
  <c r="J101" i="1"/>
  <c r="J100" i="1"/>
  <c r="J98" i="1"/>
  <c r="J96" i="1"/>
  <c r="J94" i="1"/>
  <c r="J93" i="1"/>
  <c r="J92" i="1"/>
  <c r="F101" i="1"/>
  <c r="F100" i="1"/>
  <c r="F98" i="1"/>
  <c r="F96" i="1"/>
  <c r="F94" i="1"/>
  <c r="F93" i="1"/>
  <c r="F92" i="1"/>
  <c r="B101" i="1"/>
  <c r="B100" i="1"/>
  <c r="B98" i="1"/>
  <c r="B96" i="1"/>
  <c r="B94" i="1"/>
  <c r="B93" i="1"/>
  <c r="B92" i="1"/>
  <c r="AT81" i="1"/>
  <c r="AT80" i="1"/>
  <c r="AT77" i="1"/>
  <c r="AT76" i="1"/>
  <c r="AT75" i="1"/>
  <c r="AT74" i="1"/>
  <c r="AT73" i="1"/>
  <c r="AT72" i="1"/>
  <c r="AT71" i="1"/>
  <c r="AT70" i="1"/>
  <c r="AT69" i="1"/>
  <c r="AT68" i="1"/>
  <c r="AT67" i="1"/>
  <c r="AT66" i="1"/>
  <c r="AT65" i="1"/>
  <c r="AT64" i="1"/>
  <c r="AT62" i="1"/>
  <c r="AT61" i="1"/>
  <c r="AT60" i="1"/>
  <c r="AT59" i="1"/>
  <c r="AT58" i="1"/>
  <c r="AT57" i="1"/>
  <c r="AT56" i="1"/>
  <c r="AT55" i="1"/>
  <c r="AT54" i="1"/>
  <c r="AT53" i="1"/>
  <c r="AT52" i="1"/>
  <c r="AT51" i="1"/>
  <c r="AT50" i="1"/>
  <c r="AT48" i="1"/>
  <c r="AT47" i="1"/>
  <c r="AT46" i="1"/>
  <c r="AT45" i="1"/>
  <c r="AT44" i="1"/>
  <c r="AT43" i="1"/>
  <c r="AT42" i="1"/>
  <c r="AT40" i="1"/>
  <c r="AT38" i="1"/>
  <c r="AT37" i="1"/>
  <c r="AT36" i="1"/>
  <c r="AT35" i="1"/>
  <c r="AT34" i="1"/>
  <c r="AT31" i="1"/>
  <c r="AT30" i="1"/>
  <c r="AP81" i="1"/>
  <c r="AP80" i="1"/>
  <c r="AP77" i="1"/>
  <c r="AP76" i="1"/>
  <c r="AP75" i="1"/>
  <c r="AP74" i="1"/>
  <c r="AP73" i="1"/>
  <c r="AP72" i="1"/>
  <c r="AP71" i="1"/>
  <c r="AP70" i="1"/>
  <c r="AP69" i="1"/>
  <c r="AP68" i="1"/>
  <c r="AP67" i="1"/>
  <c r="AP66" i="1"/>
  <c r="AP65" i="1"/>
  <c r="AP64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45" i="1"/>
  <c r="AP44" i="1"/>
  <c r="AP43" i="1"/>
  <c r="AP42" i="1"/>
  <c r="AP40" i="1"/>
  <c r="AP39" i="1"/>
  <c r="AP37" i="1"/>
  <c r="AP36" i="1"/>
  <c r="AP35" i="1"/>
  <c r="AP34" i="1"/>
  <c r="AP32" i="1"/>
  <c r="AP30" i="1"/>
  <c r="AL81" i="1"/>
  <c r="AL80" i="1"/>
  <c r="AL77" i="1"/>
  <c r="AL76" i="1"/>
  <c r="AL75" i="1"/>
  <c r="AL74" i="1"/>
  <c r="AL73" i="1"/>
  <c r="AL72" i="1"/>
  <c r="AL71" i="1"/>
  <c r="AL70" i="1"/>
  <c r="AL69" i="1"/>
  <c r="AL68" i="1"/>
  <c r="AL67" i="1"/>
  <c r="AL66" i="1"/>
  <c r="AL65" i="1"/>
  <c r="AL64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0" i="1"/>
  <c r="AL39" i="1"/>
  <c r="AL37" i="1"/>
  <c r="AL36" i="1"/>
  <c r="AL35" i="1"/>
  <c r="AL34" i="1"/>
  <c r="AL32" i="1"/>
  <c r="AL31" i="1"/>
  <c r="AL30" i="1"/>
  <c r="AH81" i="1"/>
  <c r="AH80" i="1"/>
  <c r="AH77" i="1"/>
  <c r="AH76" i="1"/>
  <c r="AH75" i="1"/>
  <c r="AH74" i="1"/>
  <c r="AH73" i="1"/>
  <c r="AH72" i="1"/>
  <c r="AH71" i="1"/>
  <c r="AH70" i="1"/>
  <c r="AH69" i="1"/>
  <c r="AH68" i="1"/>
  <c r="AH67" i="1"/>
  <c r="AH66" i="1"/>
  <c r="AH65" i="1"/>
  <c r="AH64" i="1"/>
  <c r="AH61" i="1"/>
  <c r="AH60" i="1"/>
  <c r="AH59" i="1"/>
  <c r="AH58" i="1"/>
  <c r="AH57" i="1"/>
  <c r="AH56" i="1"/>
  <c r="AH55" i="1"/>
  <c r="AH54" i="1"/>
  <c r="AH53" i="1"/>
  <c r="AH52" i="1"/>
  <c r="AH51" i="1"/>
  <c r="AH50" i="1"/>
  <c r="AH48" i="1"/>
  <c r="AH47" i="1"/>
  <c r="AH46" i="1"/>
  <c r="AH45" i="1"/>
  <c r="AH44" i="1"/>
  <c r="AH43" i="1"/>
  <c r="AH42" i="1"/>
  <c r="AH40" i="1"/>
  <c r="AH39" i="1"/>
  <c r="AH37" i="1"/>
  <c r="AH36" i="1"/>
  <c r="AH35" i="1"/>
  <c r="AH34" i="1"/>
  <c r="AH32" i="1"/>
  <c r="AH31" i="1"/>
  <c r="AD81" i="1"/>
  <c r="AD80" i="1"/>
  <c r="AD77" i="1"/>
  <c r="AD76" i="1"/>
  <c r="AD75" i="1"/>
  <c r="AD74" i="1"/>
  <c r="AD73" i="1"/>
  <c r="AD72" i="1"/>
  <c r="AD71" i="1"/>
  <c r="AD69" i="1"/>
  <c r="AD68" i="1"/>
  <c r="AD67" i="1"/>
  <c r="AD66" i="1"/>
  <c r="AD65" i="1"/>
  <c r="AD64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0" i="1"/>
  <c r="AD38" i="1"/>
  <c r="AD37" i="1"/>
  <c r="AD36" i="1"/>
  <c r="AD35" i="1"/>
  <c r="AD34" i="1"/>
  <c r="AD32" i="1"/>
  <c r="AD31" i="1"/>
  <c r="AD30" i="1"/>
  <c r="Z81" i="1"/>
  <c r="Z80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0" i="1"/>
  <c r="Z39" i="1"/>
  <c r="Z38" i="1"/>
  <c r="Z37" i="1"/>
  <c r="Z36" i="1"/>
  <c r="Z35" i="1"/>
  <c r="Z34" i="1"/>
  <c r="Z32" i="1"/>
  <c r="Z31" i="1"/>
  <c r="Z30" i="1"/>
  <c r="V81" i="1"/>
  <c r="V80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0" i="1"/>
  <c r="V39" i="1"/>
  <c r="V38" i="1"/>
  <c r="V37" i="1"/>
  <c r="V36" i="1"/>
  <c r="V35" i="1"/>
  <c r="V34" i="1"/>
  <c r="V32" i="1"/>
  <c r="V31" i="1"/>
  <c r="R81" i="1"/>
  <c r="R80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0" i="1"/>
  <c r="R39" i="1"/>
  <c r="R38" i="1"/>
  <c r="R37" i="1"/>
  <c r="R36" i="1"/>
  <c r="R35" i="1"/>
  <c r="R34" i="1"/>
  <c r="R32" i="1"/>
  <c r="R31" i="1"/>
  <c r="R30" i="1"/>
  <c r="N81" i="1"/>
  <c r="N80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8" i="1"/>
  <c r="N47" i="1"/>
  <c r="N46" i="1"/>
  <c r="N45" i="1"/>
  <c r="N44" i="1"/>
  <c r="N43" i="1"/>
  <c r="N42" i="1"/>
  <c r="N40" i="1"/>
  <c r="N39" i="1"/>
  <c r="N37" i="1"/>
  <c r="N36" i="1"/>
  <c r="N35" i="1"/>
  <c r="N34" i="1"/>
  <c r="N32" i="1"/>
  <c r="N31" i="1"/>
  <c r="N30" i="1"/>
  <c r="J81" i="1"/>
  <c r="J80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7" i="1"/>
  <c r="J46" i="1"/>
  <c r="J45" i="1"/>
  <c r="J44" i="1"/>
  <c r="J43" i="1"/>
  <c r="J42" i="1"/>
  <c r="J40" i="1"/>
  <c r="J39" i="1"/>
  <c r="J38" i="1"/>
  <c r="J37" i="1"/>
  <c r="J36" i="1"/>
  <c r="J35" i="1"/>
  <c r="J34" i="1"/>
  <c r="J32" i="1"/>
  <c r="J30" i="1"/>
  <c r="F81" i="1"/>
  <c r="F80" i="1"/>
  <c r="F77" i="1"/>
  <c r="F76" i="1"/>
  <c r="F82" i="1" s="1"/>
  <c r="F75" i="1"/>
  <c r="F74" i="1"/>
  <c r="F73" i="1"/>
  <c r="F72" i="1"/>
  <c r="F71" i="1"/>
  <c r="F70" i="1"/>
  <c r="F69" i="1"/>
  <c r="F68" i="1"/>
  <c r="F67" i="1"/>
  <c r="F66" i="1"/>
  <c r="F65" i="1"/>
  <c r="F64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0" i="1"/>
  <c r="F39" i="1"/>
  <c r="F37" i="1"/>
  <c r="F36" i="1"/>
  <c r="F35" i="1"/>
  <c r="F34" i="1"/>
  <c r="F32" i="1"/>
  <c r="F31" i="1"/>
  <c r="F30" i="1"/>
  <c r="B80" i="1"/>
  <c r="B77" i="1"/>
  <c r="B72" i="1"/>
  <c r="B71" i="1"/>
  <c r="B70" i="1"/>
  <c r="B69" i="1"/>
  <c r="B68" i="1"/>
  <c r="B67" i="1"/>
  <c r="B66" i="1"/>
  <c r="B64" i="1"/>
  <c r="B62" i="1"/>
  <c r="B61" i="1"/>
  <c r="B59" i="1"/>
  <c r="B58" i="1"/>
  <c r="B57" i="1"/>
  <c r="B56" i="1"/>
  <c r="B54" i="1"/>
  <c r="B53" i="1"/>
  <c r="B52" i="1"/>
  <c r="B51" i="1"/>
  <c r="B50" i="1"/>
  <c r="B49" i="1"/>
  <c r="B48" i="1"/>
  <c r="B47" i="1"/>
  <c r="B46" i="1"/>
  <c r="B45" i="1"/>
  <c r="B43" i="1"/>
  <c r="B40" i="1"/>
  <c r="B39" i="1"/>
  <c r="B37" i="1"/>
  <c r="B36" i="1"/>
  <c r="B35" i="1"/>
  <c r="B34" i="1"/>
  <c r="B32" i="1"/>
  <c r="B31" i="1"/>
  <c r="B30" i="1"/>
  <c r="AT49" i="1"/>
  <c r="AT39" i="1"/>
  <c r="AP38" i="1"/>
  <c r="AL79" i="1"/>
  <c r="AH79" i="1"/>
  <c r="AH49" i="1"/>
  <c r="AI38" i="1"/>
  <c r="AH38" i="1" s="1"/>
  <c r="AD79" i="1"/>
  <c r="AD70" i="1"/>
  <c r="V79" i="1"/>
  <c r="R79" i="1"/>
  <c r="N49" i="1"/>
  <c r="J79" i="1"/>
  <c r="F79" i="1"/>
  <c r="AF152" i="3"/>
  <c r="Z152" i="3"/>
  <c r="W152" i="3"/>
  <c r="T152" i="3"/>
  <c r="Q152" i="3"/>
  <c r="K152" i="3"/>
  <c r="H152" i="3"/>
  <c r="E152" i="3"/>
  <c r="AI152" i="3"/>
  <c r="AC152" i="3"/>
  <c r="N152" i="3"/>
  <c r="AI117" i="3"/>
  <c r="AF117" i="3"/>
  <c r="AC117" i="3"/>
  <c r="W117" i="3"/>
  <c r="T117" i="3"/>
  <c r="Q117" i="3"/>
  <c r="E117" i="3"/>
  <c r="B117" i="3"/>
  <c r="Z117" i="3"/>
  <c r="K117" i="3"/>
  <c r="AF80" i="3"/>
  <c r="AC80" i="3"/>
  <c r="Z80" i="3"/>
  <c r="T80" i="3"/>
  <c r="Q80" i="3"/>
  <c r="N80" i="3"/>
  <c r="K80" i="3"/>
  <c r="E80" i="3"/>
  <c r="B80" i="3"/>
  <c r="AI80" i="3"/>
  <c r="AT19" i="2"/>
  <c r="AT18" i="2"/>
  <c r="AT17" i="2"/>
  <c r="AT16" i="2"/>
  <c r="AT15" i="2"/>
  <c r="AT14" i="2"/>
  <c r="AT13" i="2"/>
  <c r="AT12" i="2"/>
  <c r="AT11" i="2"/>
  <c r="AT10" i="2"/>
  <c r="AT9" i="2"/>
  <c r="AT8" i="2"/>
  <c r="AT7" i="2"/>
  <c r="AT6" i="2"/>
  <c r="AT5" i="2"/>
  <c r="AT4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P4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L4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H4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D4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Z4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AT54" i="2"/>
  <c r="AT52" i="2"/>
  <c r="AT51" i="2"/>
  <c r="AT49" i="2"/>
  <c r="AT48" i="2"/>
  <c r="AT47" i="2"/>
  <c r="AT46" i="2"/>
  <c r="AT45" i="2"/>
  <c r="AT44" i="2"/>
  <c r="AT43" i="2"/>
  <c r="AT42" i="2"/>
  <c r="AT41" i="2"/>
  <c r="AT39" i="2"/>
  <c r="AT38" i="2"/>
  <c r="AT37" i="2"/>
  <c r="AT36" i="2"/>
  <c r="AT35" i="2"/>
  <c r="AT34" i="2"/>
  <c r="AT33" i="2"/>
  <c r="AT32" i="2"/>
  <c r="AT31" i="2"/>
  <c r="AT30" i="2"/>
  <c r="AT29" i="2"/>
  <c r="AT28" i="2"/>
  <c r="AT27" i="2"/>
  <c r="AT26" i="2"/>
  <c r="AT24" i="2"/>
  <c r="AT23" i="2"/>
  <c r="AP54" i="2"/>
  <c r="AP53" i="2"/>
  <c r="AP52" i="2"/>
  <c r="AP51" i="2"/>
  <c r="AP50" i="2"/>
  <c r="AP49" i="2"/>
  <c r="AP48" i="2"/>
  <c r="AP47" i="2"/>
  <c r="AP46" i="2"/>
  <c r="AP45" i="2"/>
  <c r="AP44" i="2"/>
  <c r="AP43" i="2"/>
  <c r="AP42" i="2"/>
  <c r="AP41" i="2"/>
  <c r="AP40" i="2"/>
  <c r="AP39" i="2"/>
  <c r="AP38" i="2"/>
  <c r="AP37" i="2"/>
  <c r="AP36" i="2"/>
  <c r="AP35" i="2"/>
  <c r="AP34" i="2"/>
  <c r="AP33" i="2"/>
  <c r="AP32" i="2"/>
  <c r="AP31" i="2"/>
  <c r="AP30" i="2"/>
  <c r="AP29" i="2"/>
  <c r="AP28" i="2"/>
  <c r="AP27" i="2"/>
  <c r="AP26" i="2"/>
  <c r="AP24" i="2"/>
  <c r="AP23" i="2"/>
  <c r="AL54" i="2"/>
  <c r="AL52" i="2"/>
  <c r="AL51" i="2"/>
  <c r="AL50" i="2"/>
  <c r="AL49" i="2"/>
  <c r="AL48" i="2"/>
  <c r="AL46" i="2"/>
  <c r="AL45" i="2"/>
  <c r="AL44" i="2"/>
  <c r="AL43" i="2"/>
  <c r="AL42" i="2"/>
  <c r="AL39" i="2"/>
  <c r="AL38" i="2"/>
  <c r="AL37" i="2"/>
  <c r="AL36" i="2"/>
  <c r="AL35" i="2"/>
  <c r="AL34" i="2"/>
  <c r="AL33" i="2"/>
  <c r="AL32" i="2"/>
  <c r="AL30" i="2"/>
  <c r="AL29" i="2"/>
  <c r="AL27" i="2"/>
  <c r="AL26" i="2"/>
  <c r="AL24" i="2"/>
  <c r="AL23" i="2"/>
  <c r="AH54" i="2"/>
  <c r="AH52" i="2"/>
  <c r="AH51" i="2"/>
  <c r="AH50" i="2"/>
  <c r="AH49" i="2"/>
  <c r="AH48" i="2"/>
  <c r="AH46" i="2"/>
  <c r="AH45" i="2"/>
  <c r="AH44" i="2"/>
  <c r="AH43" i="2"/>
  <c r="AH42" i="2"/>
  <c r="AH39" i="2"/>
  <c r="AH38" i="2"/>
  <c r="AH37" i="2"/>
  <c r="AH36" i="2"/>
  <c r="AH35" i="2"/>
  <c r="AH34" i="2"/>
  <c r="AH33" i="2"/>
  <c r="AH32" i="2"/>
  <c r="AH30" i="2"/>
  <c r="AH29" i="2"/>
  <c r="AH27" i="2"/>
  <c r="AH26" i="2"/>
  <c r="AH24" i="2"/>
  <c r="AH23" i="2"/>
  <c r="AD54" i="2"/>
  <c r="AD53" i="2"/>
  <c r="AD52" i="2"/>
  <c r="AD51" i="2"/>
  <c r="AD50" i="2"/>
  <c r="AD49" i="2"/>
  <c r="AD48" i="2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4" i="2"/>
  <c r="AD23" i="2"/>
  <c r="AD22" i="2"/>
  <c r="Z54" i="2"/>
  <c r="Z53" i="2"/>
  <c r="Z52" i="2"/>
  <c r="Z51" i="2"/>
  <c r="Z50" i="2"/>
  <c r="Z49" i="2"/>
  <c r="Z48" i="2"/>
  <c r="Z47" i="2"/>
  <c r="Z46" i="2"/>
  <c r="Z45" i="2"/>
  <c r="Z44" i="2"/>
  <c r="Z43" i="2"/>
  <c r="Z42" i="2"/>
  <c r="Z41" i="2"/>
  <c r="Z40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39" i="2"/>
  <c r="V38" i="2"/>
  <c r="V37" i="2"/>
  <c r="V36" i="2"/>
  <c r="V35" i="2"/>
  <c r="V33" i="2"/>
  <c r="V32" i="2"/>
  <c r="V31" i="2"/>
  <c r="V30" i="2"/>
  <c r="V29" i="2"/>
  <c r="V28" i="2"/>
  <c r="V27" i="2"/>
  <c r="V26" i="2"/>
  <c r="V25" i="2"/>
  <c r="V24" i="2"/>
  <c r="V23" i="2"/>
  <c r="V22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N54" i="2"/>
  <c r="N53" i="2"/>
  <c r="N52" i="2"/>
  <c r="N51" i="2"/>
  <c r="N50" i="2"/>
  <c r="N49" i="2"/>
  <c r="N48" i="2"/>
  <c r="N46" i="2"/>
  <c r="N45" i="2"/>
  <c r="N43" i="2"/>
  <c r="N42" i="2"/>
  <c r="N40" i="2"/>
  <c r="N39" i="2"/>
  <c r="N38" i="2"/>
  <c r="N37" i="2"/>
  <c r="N36" i="2"/>
  <c r="N35" i="2"/>
  <c r="N33" i="2"/>
  <c r="N32" i="2"/>
  <c r="N30" i="2"/>
  <c r="N29" i="2"/>
  <c r="N27" i="2"/>
  <c r="N26" i="2"/>
  <c r="N24" i="2"/>
  <c r="N23" i="2"/>
  <c r="N22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0" i="2"/>
  <c r="F29" i="2"/>
  <c r="F27" i="2"/>
  <c r="F26" i="2"/>
  <c r="F25" i="2"/>
  <c r="F24" i="2"/>
  <c r="F23" i="2"/>
  <c r="F22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AV20" i="2"/>
  <c r="AU20" i="2"/>
  <c r="AR20" i="2"/>
  <c r="AQ20" i="2"/>
  <c r="AN20" i="2"/>
  <c r="AM20" i="2"/>
  <c r="AJ20" i="2"/>
  <c r="AI20" i="2"/>
  <c r="AF20" i="2"/>
  <c r="AE20" i="2"/>
  <c r="AB20" i="2"/>
  <c r="AA20" i="2"/>
  <c r="X20" i="2"/>
  <c r="W20" i="2"/>
  <c r="T20" i="2"/>
  <c r="S20" i="2"/>
  <c r="P20" i="2"/>
  <c r="O20" i="2"/>
  <c r="L20" i="2"/>
  <c r="K20" i="2"/>
  <c r="H20" i="2"/>
  <c r="G20" i="2"/>
  <c r="D20" i="2"/>
  <c r="C20" i="2"/>
  <c r="F28" i="2"/>
  <c r="F31" i="2"/>
  <c r="AU55" i="2"/>
  <c r="AQ55" i="2"/>
  <c r="AM55" i="2"/>
  <c r="AI55" i="2"/>
  <c r="AE55" i="2"/>
  <c r="AB55" i="2"/>
  <c r="AA55" i="2"/>
  <c r="W55" i="2"/>
  <c r="T55" i="2"/>
  <c r="S55" i="2"/>
  <c r="O55" i="2"/>
  <c r="L55" i="2"/>
  <c r="K55" i="2"/>
  <c r="G55" i="2"/>
  <c r="D55" i="2"/>
  <c r="C55" i="2"/>
  <c r="AT53" i="2"/>
  <c r="AT50" i="2"/>
  <c r="AT40" i="2"/>
  <c r="AT22" i="2"/>
  <c r="AP25" i="2"/>
  <c r="AL53" i="2"/>
  <c r="AL47" i="2"/>
  <c r="AL41" i="2"/>
  <c r="AL40" i="2"/>
  <c r="AL31" i="2"/>
  <c r="AL28" i="2"/>
  <c r="AL25" i="2"/>
  <c r="AH53" i="2"/>
  <c r="AH47" i="2"/>
  <c r="AH41" i="2"/>
  <c r="AH40" i="2"/>
  <c r="AH31" i="2"/>
  <c r="AH28" i="2"/>
  <c r="AH25" i="2"/>
  <c r="AH22" i="2"/>
  <c r="AD25" i="2"/>
  <c r="V40" i="2"/>
  <c r="N47" i="2"/>
  <c r="N44" i="2"/>
  <c r="N41" i="2"/>
  <c r="N34" i="2"/>
  <c r="N31" i="2"/>
  <c r="N28" i="2"/>
  <c r="N25" i="2"/>
  <c r="F132" i="1"/>
  <c r="B132" i="1"/>
  <c r="E157" i="5" l="1"/>
  <c r="L84" i="1" s="1"/>
  <c r="E159" i="5"/>
  <c r="J84" i="1" s="1"/>
  <c r="D153" i="5"/>
  <c r="H153" i="5"/>
  <c r="L153" i="5"/>
  <c r="G84" i="1"/>
  <c r="H84" i="1"/>
  <c r="E111" i="1"/>
  <c r="B405" i="4"/>
  <c r="F405" i="4"/>
  <c r="N405" i="4"/>
  <c r="R405" i="4"/>
  <c r="X36" i="4"/>
  <c r="X405" i="4" s="1"/>
  <c r="C405" i="4"/>
  <c r="G405" i="4"/>
  <c r="K405" i="4"/>
  <c r="O405" i="4"/>
  <c r="S405" i="4"/>
  <c r="W405" i="4"/>
  <c r="Y201" i="4"/>
  <c r="Y113" i="1" s="1"/>
  <c r="X113" i="1" s="1"/>
  <c r="X116" i="1" s="1"/>
  <c r="Y235" i="4"/>
  <c r="AC113" i="1" s="1"/>
  <c r="AA113" i="1" s="1"/>
  <c r="Y269" i="4"/>
  <c r="AG113" i="1" s="1"/>
  <c r="AG116" i="1" s="1"/>
  <c r="AX11" i="2"/>
  <c r="AX15" i="2"/>
  <c r="Y19" i="4"/>
  <c r="D405" i="4"/>
  <c r="H405" i="4"/>
  <c r="L405" i="4"/>
  <c r="P405" i="4"/>
  <c r="T405" i="4"/>
  <c r="Y168" i="4"/>
  <c r="U113" i="1" s="1"/>
  <c r="Y302" i="4"/>
  <c r="AK113" i="1" s="1"/>
  <c r="AI113" i="1" s="1"/>
  <c r="AI116" i="1" s="1"/>
  <c r="Y36" i="4"/>
  <c r="J405" i="4"/>
  <c r="V405" i="4"/>
  <c r="E405" i="4"/>
  <c r="I405" i="4"/>
  <c r="M405" i="4"/>
  <c r="Q405" i="4"/>
  <c r="U405" i="4"/>
  <c r="Y67" i="4"/>
  <c r="I113" i="1" s="1"/>
  <c r="G113" i="1" s="1"/>
  <c r="G116" i="1" s="1"/>
  <c r="Y101" i="4"/>
  <c r="M113" i="1" s="1"/>
  <c r="K113" i="1" s="1"/>
  <c r="K116" i="1" s="1"/>
  <c r="Y134" i="4"/>
  <c r="Q113" i="1" s="1"/>
  <c r="Q116" i="1" s="1"/>
  <c r="Y403" i="4"/>
  <c r="AW113" i="1" s="1"/>
  <c r="AV113" i="1" s="1"/>
  <c r="AV116" i="1" s="1"/>
  <c r="AD24" i="1"/>
  <c r="AV15" i="1"/>
  <c r="B81" i="1"/>
  <c r="AP24" i="1"/>
  <c r="C23" i="1"/>
  <c r="AY23" i="1" s="1"/>
  <c r="B99" i="1"/>
  <c r="AT25" i="1"/>
  <c r="F25" i="1"/>
  <c r="AL25" i="1"/>
  <c r="AD25" i="1"/>
  <c r="N25" i="1"/>
  <c r="D23" i="1"/>
  <c r="D27" i="1" s="1"/>
  <c r="B24" i="1"/>
  <c r="AH25" i="1"/>
  <c r="AT24" i="1"/>
  <c r="AH24" i="1"/>
  <c r="Z24" i="1"/>
  <c r="J24" i="1"/>
  <c r="C153" i="5"/>
  <c r="C84" i="1" s="1"/>
  <c r="B84" i="1"/>
  <c r="F84" i="1"/>
  <c r="Z25" i="1"/>
  <c r="R25" i="1"/>
  <c r="V24" i="1"/>
  <c r="N24" i="1"/>
  <c r="AZ25" i="1"/>
  <c r="K102" i="1"/>
  <c r="B25" i="1"/>
  <c r="AP25" i="1"/>
  <c r="J25" i="1"/>
  <c r="AL24" i="1"/>
  <c r="R24" i="1"/>
  <c r="F23" i="1"/>
  <c r="B33" i="1"/>
  <c r="AX33" i="1" s="1"/>
  <c r="AZ24" i="1"/>
  <c r="AY25" i="1"/>
  <c r="F24" i="1"/>
  <c r="V25" i="1"/>
  <c r="AY24" i="1"/>
  <c r="AX123" i="1"/>
  <c r="C11" i="1"/>
  <c r="AY11" i="1" s="1"/>
  <c r="AT120" i="1"/>
  <c r="C102" i="1"/>
  <c r="B97" i="1"/>
  <c r="AX97" i="1" s="1"/>
  <c r="BC97" i="1" s="1"/>
  <c r="C86" i="1"/>
  <c r="AC154" i="3"/>
  <c r="AP120" i="1"/>
  <c r="AL120" i="1"/>
  <c r="E154" i="3"/>
  <c r="G120" i="1" s="1"/>
  <c r="T154" i="3"/>
  <c r="Z154" i="3"/>
  <c r="AI251" i="3"/>
  <c r="AE251" i="3"/>
  <c r="AA251" i="3"/>
  <c r="W251" i="3"/>
  <c r="S251" i="3"/>
  <c r="O251" i="3"/>
  <c r="K251" i="3"/>
  <c r="G251" i="3"/>
  <c r="C251" i="3"/>
  <c r="K154" i="3"/>
  <c r="AI154" i="3"/>
  <c r="B154" i="3"/>
  <c r="Q154" i="3"/>
  <c r="AF154" i="3"/>
  <c r="AH251" i="3"/>
  <c r="AD251" i="3"/>
  <c r="Z251" i="3"/>
  <c r="V251" i="3"/>
  <c r="R251" i="3"/>
  <c r="N251" i="3"/>
  <c r="J251" i="3"/>
  <c r="F251" i="3"/>
  <c r="AF251" i="3"/>
  <c r="AB251" i="3"/>
  <c r="X251" i="3"/>
  <c r="T251" i="3"/>
  <c r="P251" i="3"/>
  <c r="L251" i="3"/>
  <c r="L120" i="1"/>
  <c r="D251" i="3"/>
  <c r="AG251" i="3"/>
  <c r="AH120" i="1" s="1"/>
  <c r="AC251" i="3"/>
  <c r="Y251" i="3"/>
  <c r="Z120" i="1" s="1"/>
  <c r="U251" i="3"/>
  <c r="V120" i="1" s="1"/>
  <c r="Q251" i="3"/>
  <c r="M251" i="3"/>
  <c r="N120" i="1" s="1"/>
  <c r="I251" i="3"/>
  <c r="E251" i="3"/>
  <c r="H120" i="1" s="1"/>
  <c r="B251" i="3"/>
  <c r="D120" i="1" s="1"/>
  <c r="AT6" i="1"/>
  <c r="Z26" i="1"/>
  <c r="AT114" i="1"/>
  <c r="AD108" i="1"/>
  <c r="R108" i="1"/>
  <c r="AD22" i="1"/>
  <c r="J19" i="1"/>
  <c r="B115" i="1"/>
  <c r="B104" i="1"/>
  <c r="N95" i="1"/>
  <c r="V19" i="1"/>
  <c r="AD19" i="1"/>
  <c r="AH26" i="1"/>
  <c r="AH63" i="1"/>
  <c r="AL78" i="1"/>
  <c r="B95" i="1"/>
  <c r="AH99" i="1"/>
  <c r="R99" i="1"/>
  <c r="AT8" i="1"/>
  <c r="R41" i="1"/>
  <c r="AD99" i="1"/>
  <c r="Z7" i="1"/>
  <c r="Z11" i="1"/>
  <c r="AD8" i="1"/>
  <c r="AR82" i="1"/>
  <c r="AL99" i="1"/>
  <c r="AL108" i="1"/>
  <c r="Z110" i="1"/>
  <c r="B110" i="1"/>
  <c r="V26" i="1"/>
  <c r="AP26" i="1"/>
  <c r="F41" i="1"/>
  <c r="AP110" i="1"/>
  <c r="AL106" i="1"/>
  <c r="AL110" i="1"/>
  <c r="AH105" i="1"/>
  <c r="AH110" i="1"/>
  <c r="AD105" i="1"/>
  <c r="Z114" i="1"/>
  <c r="R115" i="1"/>
  <c r="Z105" i="1"/>
  <c r="Z108" i="1"/>
  <c r="J110" i="1"/>
  <c r="F26" i="1"/>
  <c r="N115" i="1"/>
  <c r="V108" i="1"/>
  <c r="V115" i="1"/>
  <c r="F95" i="1"/>
  <c r="B8" i="1"/>
  <c r="R9" i="1"/>
  <c r="R12" i="1"/>
  <c r="AL9" i="1"/>
  <c r="T82" i="1"/>
  <c r="AT99" i="1"/>
  <c r="Z115" i="1"/>
  <c r="AT105" i="1"/>
  <c r="AD110" i="1"/>
  <c r="N105" i="1"/>
  <c r="F78" i="1"/>
  <c r="R78" i="1"/>
  <c r="V99" i="1"/>
  <c r="F99" i="1"/>
  <c r="AD14" i="1"/>
  <c r="AH115" i="1"/>
  <c r="AH14" i="1"/>
  <c r="AT14" i="1"/>
  <c r="AH108" i="1"/>
  <c r="AD107" i="1"/>
  <c r="B14" i="1"/>
  <c r="J11" i="1"/>
  <c r="AT11" i="1"/>
  <c r="AD41" i="1"/>
  <c r="AD7" i="1"/>
  <c r="V114" i="1"/>
  <c r="R110" i="1"/>
  <c r="N108" i="1"/>
  <c r="B105" i="1"/>
  <c r="B108" i="1"/>
  <c r="AD26" i="1"/>
  <c r="F19" i="1"/>
  <c r="V106" i="1"/>
  <c r="V109" i="1"/>
  <c r="B114" i="1"/>
  <c r="AT9" i="1"/>
  <c r="Z9" i="1"/>
  <c r="Z14" i="1"/>
  <c r="AL63" i="1"/>
  <c r="AP78" i="1"/>
  <c r="AR27" i="1"/>
  <c r="AD23" i="1"/>
  <c r="AF27" i="1"/>
  <c r="AN15" i="1"/>
  <c r="AA116" i="1"/>
  <c r="AD115" i="1"/>
  <c r="AT115" i="1"/>
  <c r="AL115" i="1"/>
  <c r="AJ82" i="1"/>
  <c r="AB82" i="1"/>
  <c r="Z78" i="1"/>
  <c r="J78" i="1"/>
  <c r="V63" i="1"/>
  <c r="N63" i="1"/>
  <c r="L82" i="1"/>
  <c r="AZ110" i="1"/>
  <c r="J7" i="1"/>
  <c r="AD9" i="1"/>
  <c r="AP14" i="1"/>
  <c r="AT7" i="1"/>
  <c r="AZ99" i="1"/>
  <c r="AT110" i="1"/>
  <c r="AP105" i="1"/>
  <c r="N110" i="1"/>
  <c r="AY105" i="1"/>
  <c r="J108" i="1"/>
  <c r="AU5" i="1"/>
  <c r="AT5" i="1" s="1"/>
  <c r="AT95" i="1"/>
  <c r="AQ18" i="1"/>
  <c r="AP18" i="1" s="1"/>
  <c r="Z63" i="1"/>
  <c r="AP63" i="1"/>
  <c r="N78" i="1"/>
  <c r="AD78" i="1"/>
  <c r="Z104" i="1"/>
  <c r="Z107" i="1"/>
  <c r="AB113" i="1"/>
  <c r="AB116" i="1" s="1"/>
  <c r="X111" i="1"/>
  <c r="AD95" i="1"/>
  <c r="AO15" i="1"/>
  <c r="V22" i="1"/>
  <c r="AP22" i="1"/>
  <c r="AL114" i="1"/>
  <c r="AH114" i="1"/>
  <c r="AD106" i="1"/>
  <c r="F115" i="1"/>
  <c r="V95" i="1"/>
  <c r="P82" i="1"/>
  <c r="AF82" i="1"/>
  <c r="AV111" i="1"/>
  <c r="AY115" i="1"/>
  <c r="AY110" i="1"/>
  <c r="N12" i="1"/>
  <c r="R11" i="1"/>
  <c r="AT106" i="1"/>
  <c r="AD114" i="1"/>
  <c r="V110" i="1"/>
  <c r="R105" i="1"/>
  <c r="V107" i="1"/>
  <c r="J41" i="1"/>
  <c r="W27" i="1"/>
  <c r="N26" i="1"/>
  <c r="P27" i="1"/>
  <c r="V9" i="1"/>
  <c r="V7" i="1"/>
  <c r="N10" i="1"/>
  <c r="L102" i="1"/>
  <c r="N99" i="1"/>
  <c r="AY99" i="1"/>
  <c r="AL95" i="1"/>
  <c r="AY95" i="1"/>
  <c r="AP95" i="1"/>
  <c r="AZ95" i="1"/>
  <c r="AT108" i="1"/>
  <c r="AT107" i="1"/>
  <c r="AP108" i="1"/>
  <c r="L111" i="1"/>
  <c r="N7" i="1"/>
  <c r="AH7" i="1"/>
  <c r="AE15" i="1"/>
  <c r="AQ102" i="1"/>
  <c r="J99" i="1"/>
  <c r="Z99" i="1"/>
  <c r="AP99" i="1"/>
  <c r="AH78" i="1"/>
  <c r="R63" i="1"/>
  <c r="N41" i="1"/>
  <c r="AH41" i="1"/>
  <c r="Z41" i="1"/>
  <c r="AP41" i="1"/>
  <c r="J26" i="1"/>
  <c r="R26" i="1"/>
  <c r="N22" i="1"/>
  <c r="AH22" i="1"/>
  <c r="AF15" i="1"/>
  <c r="AF20" i="1"/>
  <c r="AH12" i="1"/>
  <c r="V11" i="1"/>
  <c r="AD11" i="1"/>
  <c r="F11" i="1"/>
  <c r="N11" i="1"/>
  <c r="R10" i="1"/>
  <c r="AX19" i="2"/>
  <c r="AX9" i="2"/>
  <c r="AX13" i="2"/>
  <c r="AX17" i="2"/>
  <c r="AX23" i="2"/>
  <c r="AX52" i="2"/>
  <c r="AX26" i="2"/>
  <c r="B107" i="1"/>
  <c r="D82" i="1"/>
  <c r="B78" i="1"/>
  <c r="B26" i="1"/>
  <c r="B19" i="1"/>
  <c r="J9" i="1"/>
  <c r="J12" i="1"/>
  <c r="F7" i="1"/>
  <c r="F14" i="1"/>
  <c r="F9" i="1"/>
  <c r="F12" i="1"/>
  <c r="D102" i="1"/>
  <c r="J95" i="1"/>
  <c r="V6" i="1"/>
  <c r="V8" i="1"/>
  <c r="V10" i="1"/>
  <c r="V14" i="1"/>
  <c r="AD6" i="1"/>
  <c r="AD10" i="1"/>
  <c r="AD13" i="1"/>
  <c r="AL7" i="1"/>
  <c r="AL11" i="1"/>
  <c r="AL12" i="1"/>
  <c r="AL14" i="1"/>
  <c r="AP10" i="1"/>
  <c r="AT10" i="1"/>
  <c r="P18" i="1"/>
  <c r="N18" i="1" s="1"/>
  <c r="AH19" i="1"/>
  <c r="AE27" i="1"/>
  <c r="J22" i="1"/>
  <c r="AL26" i="1"/>
  <c r="AT22" i="1"/>
  <c r="AD63" i="1"/>
  <c r="AT63" i="1"/>
  <c r="V78" i="1"/>
  <c r="AT78" i="1"/>
  <c r="AY108" i="1"/>
  <c r="AE109" i="1"/>
  <c r="AD109" i="1" s="1"/>
  <c r="AB111" i="1"/>
  <c r="D109" i="1"/>
  <c r="D111" i="1" s="1"/>
  <c r="AM82" i="1"/>
  <c r="F110" i="1"/>
  <c r="O5" i="1"/>
  <c r="N5" i="1" s="1"/>
  <c r="AZ9" i="1"/>
  <c r="L17" i="1"/>
  <c r="J17" i="1" s="1"/>
  <c r="C27" i="1"/>
  <c r="G27" i="1"/>
  <c r="K27" i="1"/>
  <c r="S27" i="1"/>
  <c r="AY41" i="1"/>
  <c r="AY63" i="1"/>
  <c r="AY78" i="1"/>
  <c r="AR115" i="1"/>
  <c r="AN111" i="1"/>
  <c r="K111" i="1"/>
  <c r="J115" i="1"/>
  <c r="AZ105" i="1"/>
  <c r="AZ108" i="1"/>
  <c r="AZ10" i="1"/>
  <c r="J105" i="1"/>
  <c r="Z95" i="1"/>
  <c r="B13" i="1"/>
  <c r="B10" i="1"/>
  <c r="B7" i="1"/>
  <c r="N14" i="1"/>
  <c r="R8" i="1"/>
  <c r="R13" i="1"/>
  <c r="AH9" i="1"/>
  <c r="AH11" i="1"/>
  <c r="Y20" i="1"/>
  <c r="AB17" i="1"/>
  <c r="Z17" i="1" s="1"/>
  <c r="Z19" i="1"/>
  <c r="AT19" i="1"/>
  <c r="AQ113" i="1"/>
  <c r="AP113" i="1" s="1"/>
  <c r="AL107" i="1"/>
  <c r="R114" i="1"/>
  <c r="N106" i="1"/>
  <c r="N107" i="1"/>
  <c r="O109" i="1"/>
  <c r="N109" i="1" s="1"/>
  <c r="F106" i="1"/>
  <c r="F107" i="1"/>
  <c r="N9" i="1"/>
  <c r="B63" i="1"/>
  <c r="F105" i="1"/>
  <c r="F108" i="1"/>
  <c r="V105" i="1"/>
  <c r="AZ11" i="1"/>
  <c r="AM5" i="1"/>
  <c r="AM15" i="1" s="1"/>
  <c r="O20" i="1"/>
  <c r="D18" i="1"/>
  <c r="T17" i="1"/>
  <c r="R17" i="1" s="1"/>
  <c r="AM17" i="1"/>
  <c r="AL17" i="1" s="1"/>
  <c r="AR109" i="1"/>
  <c r="AP109" i="1" s="1"/>
  <c r="AM109" i="1"/>
  <c r="AM111" i="1" s="1"/>
  <c r="S111" i="1"/>
  <c r="T106" i="1"/>
  <c r="T111" i="1" s="1"/>
  <c r="AS111" i="1"/>
  <c r="R95" i="1"/>
  <c r="AL105" i="1"/>
  <c r="AH95" i="1"/>
  <c r="J8" i="1"/>
  <c r="J10" i="1"/>
  <c r="J13" i="1"/>
  <c r="V13" i="1"/>
  <c r="AB6" i="1"/>
  <c r="AB15" i="1" s="1"/>
  <c r="AH10" i="1"/>
  <c r="AI13" i="1"/>
  <c r="AH13" i="1" s="1"/>
  <c r="AL8" i="1"/>
  <c r="AL10" i="1"/>
  <c r="AL13" i="1"/>
  <c r="AP9" i="1"/>
  <c r="AP11" i="1"/>
  <c r="AQ12" i="1"/>
  <c r="AP12" i="1" s="1"/>
  <c r="T18" i="1"/>
  <c r="R18" i="1" s="1"/>
  <c r="AJ17" i="1"/>
  <c r="AH17" i="1" s="1"/>
  <c r="AR19" i="1"/>
  <c r="AP19" i="1" s="1"/>
  <c r="AS116" i="1"/>
  <c r="AD5" i="1"/>
  <c r="G5" i="1"/>
  <c r="F5" i="1" s="1"/>
  <c r="R6" i="1"/>
  <c r="W5" i="1"/>
  <c r="V5" i="1" s="1"/>
  <c r="AT13" i="1"/>
  <c r="P17" i="1"/>
  <c r="N17" i="1" s="1"/>
  <c r="AN19" i="1"/>
  <c r="AL19" i="1" s="1"/>
  <c r="AV17" i="1"/>
  <c r="AT17" i="1" s="1"/>
  <c r="AZ26" i="1"/>
  <c r="AE113" i="1"/>
  <c r="AE116" i="1" s="1"/>
  <c r="P111" i="1"/>
  <c r="U111" i="1"/>
  <c r="AG111" i="1"/>
  <c r="AG117" i="1" s="1"/>
  <c r="H111" i="1"/>
  <c r="L14" i="1"/>
  <c r="AZ14" i="1" s="1"/>
  <c r="K14" i="1"/>
  <c r="P13" i="1"/>
  <c r="AZ13" i="1" s="1"/>
  <c r="O13" i="1"/>
  <c r="M15" i="1"/>
  <c r="N38" i="1"/>
  <c r="O82" i="1"/>
  <c r="W82" i="1"/>
  <c r="AP31" i="1"/>
  <c r="AQ82" i="1"/>
  <c r="AX94" i="1"/>
  <c r="H15" i="1"/>
  <c r="Y15" i="1"/>
  <c r="X12" i="1"/>
  <c r="AZ12" i="1" s="1"/>
  <c r="AR7" i="1"/>
  <c r="AQ7" i="1"/>
  <c r="T7" i="1"/>
  <c r="T15" i="1" s="1"/>
  <c r="S7" i="1"/>
  <c r="W12" i="1"/>
  <c r="AA12" i="1"/>
  <c r="Z12" i="1" s="1"/>
  <c r="AH8" i="1"/>
  <c r="F38" i="1"/>
  <c r="G82" i="1"/>
  <c r="B22" i="1"/>
  <c r="AZ22" i="1"/>
  <c r="T27" i="1"/>
  <c r="R22" i="1"/>
  <c r="AB27" i="1"/>
  <c r="Z22" i="1"/>
  <c r="AN27" i="1"/>
  <c r="AL22" i="1"/>
  <c r="AZ41" i="1"/>
  <c r="H82" i="1"/>
  <c r="X82" i="1"/>
  <c r="V41" i="1"/>
  <c r="AN82" i="1"/>
  <c r="AL41" i="1"/>
  <c r="AV82" i="1"/>
  <c r="AT41" i="1"/>
  <c r="AZ63" i="1"/>
  <c r="F63" i="1"/>
  <c r="E15" i="1"/>
  <c r="D6" i="1"/>
  <c r="D15" i="1" s="1"/>
  <c r="G17" i="1"/>
  <c r="G20" i="1" s="1"/>
  <c r="I20" i="1"/>
  <c r="H17" i="1"/>
  <c r="H20" i="1" s="1"/>
  <c r="AI82" i="1"/>
  <c r="AC15" i="1"/>
  <c r="B12" i="1"/>
  <c r="AA13" i="1"/>
  <c r="Z13" i="1" s="1"/>
  <c r="AQ13" i="1"/>
  <c r="AP13" i="1" s="1"/>
  <c r="AU12" i="1"/>
  <c r="AT12" i="1" s="1"/>
  <c r="AQ17" i="1"/>
  <c r="AS20" i="1"/>
  <c r="Q20" i="1"/>
  <c r="L18" i="1"/>
  <c r="AR17" i="1"/>
  <c r="S82" i="1"/>
  <c r="AA82" i="1"/>
  <c r="AP114" i="1"/>
  <c r="AE82" i="1"/>
  <c r="AT32" i="1"/>
  <c r="AX32" i="1" s="1"/>
  <c r="AU82" i="1"/>
  <c r="I15" i="1"/>
  <c r="Q15" i="1"/>
  <c r="AW15" i="1"/>
  <c r="AK15" i="1"/>
  <c r="AJ5" i="1"/>
  <c r="AJ15" i="1" s="1"/>
  <c r="C5" i="1"/>
  <c r="B5" i="1" s="1"/>
  <c r="G6" i="1"/>
  <c r="F6" i="1" s="1"/>
  <c r="F8" i="1"/>
  <c r="F13" i="1"/>
  <c r="K5" i="1"/>
  <c r="J5" i="1" s="1"/>
  <c r="O6" i="1"/>
  <c r="N6" i="1" s="1"/>
  <c r="N8" i="1"/>
  <c r="S5" i="1"/>
  <c r="R5" i="1" s="1"/>
  <c r="S14" i="1"/>
  <c r="R14" i="1" s="1"/>
  <c r="AA5" i="1"/>
  <c r="Z5" i="1" s="1"/>
  <c r="Z8" i="1"/>
  <c r="Z10" i="1"/>
  <c r="AP8" i="1"/>
  <c r="D17" i="1"/>
  <c r="B17" i="1" s="1"/>
  <c r="E20" i="1"/>
  <c r="U20" i="1"/>
  <c r="U28" i="1" s="1"/>
  <c r="P19" i="1"/>
  <c r="X17" i="1"/>
  <c r="X20" i="1" s="1"/>
  <c r="AJ18" i="1"/>
  <c r="AH18" i="1" s="1"/>
  <c r="AV18" i="1"/>
  <c r="H27" i="1"/>
  <c r="L27" i="1"/>
  <c r="X27" i="1"/>
  <c r="AO89" i="1"/>
  <c r="AF111" i="1"/>
  <c r="AS15" i="1"/>
  <c r="AR5" i="1"/>
  <c r="AZ8" i="1"/>
  <c r="AI5" i="1"/>
  <c r="AP6" i="1"/>
  <c r="AE17" i="1"/>
  <c r="AD17" i="1" s="1"/>
  <c r="AG20" i="1"/>
  <c r="AG28" i="1" s="1"/>
  <c r="AM18" i="1"/>
  <c r="AO20" i="1"/>
  <c r="AN18" i="1"/>
  <c r="N104" i="1"/>
  <c r="AW20" i="1"/>
  <c r="K20" i="1"/>
  <c r="S20" i="1"/>
  <c r="AA20" i="1"/>
  <c r="Z18" i="1"/>
  <c r="AI20" i="1"/>
  <c r="F22" i="1"/>
  <c r="AY22" i="1"/>
  <c r="Z23" i="1"/>
  <c r="AL23" i="1"/>
  <c r="AT23" i="1"/>
  <c r="B41" i="1"/>
  <c r="J63" i="1"/>
  <c r="E89" i="1"/>
  <c r="Q89" i="1"/>
  <c r="AK89" i="1"/>
  <c r="C113" i="1"/>
  <c r="B113" i="1" s="1"/>
  <c r="E116" i="1"/>
  <c r="E117" i="1" s="1"/>
  <c r="S113" i="1"/>
  <c r="S116" i="1" s="1"/>
  <c r="U116" i="1"/>
  <c r="F104" i="1"/>
  <c r="G109" i="1"/>
  <c r="G111" i="1" s="1"/>
  <c r="G117" i="1" s="1"/>
  <c r="AK111" i="1"/>
  <c r="AJ27" i="1"/>
  <c r="AV27" i="1"/>
  <c r="AC89" i="1"/>
  <c r="AW89" i="1"/>
  <c r="I116" i="1"/>
  <c r="H113" i="1"/>
  <c r="AO117" i="1"/>
  <c r="AN113" i="1"/>
  <c r="AN116" i="1" s="1"/>
  <c r="AT104" i="1"/>
  <c r="AU111" i="1"/>
  <c r="AM113" i="1"/>
  <c r="AJ109" i="1"/>
  <c r="AH109" i="1" s="1"/>
  <c r="AA111" i="1"/>
  <c r="M20" i="1"/>
  <c r="AC20" i="1"/>
  <c r="AK20" i="1"/>
  <c r="F18" i="1"/>
  <c r="W20" i="1"/>
  <c r="V18" i="1"/>
  <c r="AD18" i="1"/>
  <c r="AU20" i="1"/>
  <c r="O27" i="1"/>
  <c r="V23" i="1"/>
  <c r="AA27" i="1"/>
  <c r="AH23" i="1"/>
  <c r="AQ27" i="1"/>
  <c r="AU27" i="1"/>
  <c r="AY26" i="1"/>
  <c r="I89" i="1"/>
  <c r="U89" i="1"/>
  <c r="AJ106" i="1"/>
  <c r="AH106" i="1" s="1"/>
  <c r="V104" i="1"/>
  <c r="W111" i="1"/>
  <c r="T113" i="1"/>
  <c r="T116" i="1" s="1"/>
  <c r="I111" i="1"/>
  <c r="Q111" i="1"/>
  <c r="Q117" i="1" s="1"/>
  <c r="AF113" i="1"/>
  <c r="AF116" i="1" s="1"/>
  <c r="P113" i="1"/>
  <c r="P116" i="1" s="1"/>
  <c r="D116" i="1"/>
  <c r="AC116" i="1"/>
  <c r="AC117" i="1" s="1"/>
  <c r="AP104" i="1"/>
  <c r="AP106" i="1"/>
  <c r="AP107" i="1"/>
  <c r="AH104" i="1"/>
  <c r="AH107" i="1"/>
  <c r="Z106" i="1"/>
  <c r="R107" i="1"/>
  <c r="R109" i="1"/>
  <c r="N114" i="1"/>
  <c r="J106" i="1"/>
  <c r="J107" i="1"/>
  <c r="J109" i="1"/>
  <c r="F114" i="1"/>
  <c r="C111" i="1"/>
  <c r="B106" i="1"/>
  <c r="AI111" i="1"/>
  <c r="AQ111" i="1"/>
  <c r="J114" i="1"/>
  <c r="J104" i="1"/>
  <c r="R104" i="1"/>
  <c r="AZ107" i="1"/>
  <c r="AD104" i="1"/>
  <c r="AZ104" i="1"/>
  <c r="AL104" i="1"/>
  <c r="AY114" i="1"/>
  <c r="AY107" i="1"/>
  <c r="AY104" i="1"/>
  <c r="AX8" i="2"/>
  <c r="AX16" i="2"/>
  <c r="AX46" i="2"/>
  <c r="AX27" i="2"/>
  <c r="AX51" i="2"/>
  <c r="AX35" i="2"/>
  <c r="AX42" i="2"/>
  <c r="AZ20" i="2"/>
  <c r="AX24" i="2"/>
  <c r="AZ50" i="2"/>
  <c r="AX50" i="2" s="1"/>
  <c r="AT20" i="2"/>
  <c r="AY20" i="2"/>
  <c r="AX39" i="2"/>
  <c r="AX12" i="2"/>
  <c r="AX14" i="2"/>
  <c r="AX30" i="2"/>
  <c r="AZ34" i="2"/>
  <c r="AX34" i="2" s="1"/>
  <c r="AX36" i="2"/>
  <c r="AX38" i="2"/>
  <c r="AX43" i="2"/>
  <c r="AX54" i="2"/>
  <c r="AZ25" i="2"/>
  <c r="AX25" i="2" s="1"/>
  <c r="AZ41" i="2"/>
  <c r="AX41" i="2" s="1"/>
  <c r="AY55" i="2"/>
  <c r="AZ22" i="2"/>
  <c r="AX29" i="2"/>
  <c r="AX45" i="2"/>
  <c r="AV55" i="2"/>
  <c r="AV57" i="2" s="1"/>
  <c r="AX6" i="2"/>
  <c r="AZ31" i="2"/>
  <c r="AX31" i="2" s="1"/>
  <c r="AX33" i="2"/>
  <c r="AZ40" i="2"/>
  <c r="AX40" i="2" s="1"/>
  <c r="AZ47" i="2"/>
  <c r="AX47" i="2" s="1"/>
  <c r="AX49" i="2"/>
  <c r="AX18" i="2"/>
  <c r="X55" i="2"/>
  <c r="X57" i="2" s="1"/>
  <c r="AX5" i="2"/>
  <c r="AX7" i="2"/>
  <c r="AX10" i="2"/>
  <c r="AZ28" i="2"/>
  <c r="AX28" i="2" s="1"/>
  <c r="AX32" i="2"/>
  <c r="AX37" i="2"/>
  <c r="AZ44" i="2"/>
  <c r="AX44" i="2" s="1"/>
  <c r="AX48" i="2"/>
  <c r="AZ53" i="2"/>
  <c r="AX53" i="2" s="1"/>
  <c r="AX4" i="2"/>
  <c r="AZ78" i="1"/>
  <c r="AT26" i="1"/>
  <c r="AP23" i="1"/>
  <c r="AM27" i="1"/>
  <c r="AI27" i="1"/>
  <c r="R23" i="1"/>
  <c r="N23" i="1"/>
  <c r="J23" i="1"/>
  <c r="AL6" i="1"/>
  <c r="AH6" i="1"/>
  <c r="AY9" i="1"/>
  <c r="J6" i="1"/>
  <c r="AY10" i="1"/>
  <c r="F10" i="1"/>
  <c r="B9" i="1"/>
  <c r="AX40" i="1"/>
  <c r="AY31" i="1"/>
  <c r="AY79" i="1"/>
  <c r="AX46" i="1"/>
  <c r="AX50" i="1"/>
  <c r="AY49" i="1"/>
  <c r="AX42" i="1"/>
  <c r="AX54" i="1"/>
  <c r="AY39" i="1"/>
  <c r="AX64" i="1"/>
  <c r="AX35" i="1"/>
  <c r="AX43" i="1"/>
  <c r="AX47" i="1"/>
  <c r="AX51" i="1"/>
  <c r="AX81" i="1"/>
  <c r="AX57" i="1"/>
  <c r="AX61" i="1"/>
  <c r="AX65" i="1"/>
  <c r="AX69" i="1"/>
  <c r="AX73" i="1"/>
  <c r="AX52" i="1"/>
  <c r="AX56" i="1"/>
  <c r="AX60" i="1"/>
  <c r="AX68" i="1"/>
  <c r="AX72" i="1"/>
  <c r="AX76" i="1"/>
  <c r="V30" i="1"/>
  <c r="AX36" i="1"/>
  <c r="AX44" i="1"/>
  <c r="AX58" i="1"/>
  <c r="AX66" i="1"/>
  <c r="AX70" i="1"/>
  <c r="AX74" i="1"/>
  <c r="AY32" i="1"/>
  <c r="AY92" i="1"/>
  <c r="AY106" i="1"/>
  <c r="AY19" i="1"/>
  <c r="C20" i="1"/>
  <c r="AX55" i="1"/>
  <c r="AX37" i="1"/>
  <c r="AX45" i="1"/>
  <c r="AX49" i="1"/>
  <c r="AX53" i="1"/>
  <c r="AH62" i="1"/>
  <c r="AZ62" i="1"/>
  <c r="AY48" i="1"/>
  <c r="AL38" i="1"/>
  <c r="AX34" i="1"/>
  <c r="AX59" i="1"/>
  <c r="AX67" i="1"/>
  <c r="AX71" i="1"/>
  <c r="AX75" i="1"/>
  <c r="AX80" i="1"/>
  <c r="J31" i="1"/>
  <c r="AY100" i="1"/>
  <c r="AX96" i="1"/>
  <c r="AX101" i="1"/>
  <c r="AP100" i="1"/>
  <c r="AY30" i="1"/>
  <c r="AY55" i="1"/>
  <c r="Z92" i="1"/>
  <c r="AX77" i="1"/>
  <c r="AT109" i="1"/>
  <c r="AY38" i="1"/>
  <c r="AY70" i="1"/>
  <c r="C82" i="1"/>
  <c r="N20" i="2"/>
  <c r="AD20" i="2"/>
  <c r="AX98" i="1"/>
  <c r="AX93" i="1"/>
  <c r="AP62" i="1"/>
  <c r="J48" i="1"/>
  <c r="AX48" i="1" s="1"/>
  <c r="Z109" i="1"/>
  <c r="N79" i="1"/>
  <c r="Z79" i="1"/>
  <c r="AH30" i="1"/>
  <c r="AP79" i="1"/>
  <c r="AT79" i="1"/>
  <c r="AD12" i="1"/>
  <c r="AD39" i="1"/>
  <c r="AX39" i="1" s="1"/>
  <c r="W80" i="3"/>
  <c r="H117" i="3"/>
  <c r="N117" i="3"/>
  <c r="V34" i="2"/>
  <c r="V55" i="2" s="1"/>
  <c r="R20" i="2"/>
  <c r="AH20" i="2"/>
  <c r="F20" i="2"/>
  <c r="V20" i="2"/>
  <c r="AL20" i="2"/>
  <c r="AR55" i="2"/>
  <c r="AR57" i="2" s="1"/>
  <c r="O57" i="2"/>
  <c r="J20" i="2"/>
  <c r="Z20" i="2"/>
  <c r="AP20" i="2"/>
  <c r="G57" i="2"/>
  <c r="L57" i="2"/>
  <c r="AB57" i="2"/>
  <c r="AM57" i="2"/>
  <c r="H55" i="2"/>
  <c r="H57" i="2" s="1"/>
  <c r="AI57" i="2"/>
  <c r="AD55" i="2"/>
  <c r="C57" i="2"/>
  <c r="S57" i="2"/>
  <c r="AN55" i="2"/>
  <c r="AN57" i="2" s="1"/>
  <c r="W57" i="2"/>
  <c r="D57" i="2"/>
  <c r="T57" i="2"/>
  <c r="AE57" i="2"/>
  <c r="AU57" i="2"/>
  <c r="B20" i="2"/>
  <c r="K57" i="2"/>
  <c r="AA57" i="2"/>
  <c r="AQ57" i="2"/>
  <c r="F55" i="2"/>
  <c r="N55" i="2"/>
  <c r="B55" i="2"/>
  <c r="R55" i="2"/>
  <c r="AF55" i="2"/>
  <c r="AF57" i="2" s="1"/>
  <c r="AP22" i="2"/>
  <c r="AP55" i="2" s="1"/>
  <c r="AT25" i="2"/>
  <c r="AT55" i="2" s="1"/>
  <c r="P55" i="2"/>
  <c r="P57" i="2" s="1"/>
  <c r="AJ55" i="2"/>
  <c r="AJ57" i="2" s="1"/>
  <c r="AH55" i="2"/>
  <c r="AL22" i="2"/>
  <c r="AL55" i="2" s="1"/>
  <c r="J55" i="2"/>
  <c r="Z55" i="2"/>
  <c r="M116" i="1" l="1"/>
  <c r="M117" i="1" s="1"/>
  <c r="L113" i="1"/>
  <c r="L116" i="1" s="1"/>
  <c r="L117" i="1" s="1"/>
  <c r="AW116" i="1"/>
  <c r="AW117" i="1" s="1"/>
  <c r="Y116" i="1"/>
  <c r="Y117" i="1" s="1"/>
  <c r="Y405" i="4"/>
  <c r="AK116" i="1"/>
  <c r="AK117" i="1" s="1"/>
  <c r="W113" i="1"/>
  <c r="W116" i="1" s="1"/>
  <c r="AU113" i="1"/>
  <c r="AT113" i="1" s="1"/>
  <c r="AT116" i="1" s="1"/>
  <c r="AJ113" i="1"/>
  <c r="AJ116" i="1" s="1"/>
  <c r="O113" i="1"/>
  <c r="O116" i="1" s="1"/>
  <c r="B102" i="1"/>
  <c r="B11" i="1"/>
  <c r="AX11" i="1" s="1"/>
  <c r="BC11" i="1" s="1"/>
  <c r="AZ23" i="1"/>
  <c r="B23" i="1"/>
  <c r="B27" i="1" s="1"/>
  <c r="AX24" i="1"/>
  <c r="BC24" i="1" s="1"/>
  <c r="D84" i="1"/>
  <c r="AX25" i="1"/>
  <c r="BC25" i="1" s="1"/>
  <c r="AY102" i="1"/>
  <c r="AD120" i="1"/>
  <c r="R120" i="1"/>
  <c r="AZ120" i="1"/>
  <c r="K120" i="1"/>
  <c r="J120" i="1" s="1"/>
  <c r="W154" i="3"/>
  <c r="N154" i="3"/>
  <c r="AR111" i="1"/>
  <c r="F109" i="1"/>
  <c r="F111" i="1" s="1"/>
  <c r="AL102" i="1"/>
  <c r="AH102" i="1"/>
  <c r="AD102" i="1"/>
  <c r="R102" i="1"/>
  <c r="N102" i="1"/>
  <c r="V102" i="1"/>
  <c r="AQ116" i="1"/>
  <c r="AQ117" i="1" s="1"/>
  <c r="B116" i="1"/>
  <c r="Y28" i="1"/>
  <c r="F27" i="1"/>
  <c r="AF28" i="1"/>
  <c r="AT102" i="1"/>
  <c r="AL5" i="1"/>
  <c r="AL15" i="1" s="1"/>
  <c r="R82" i="1"/>
  <c r="AB117" i="1"/>
  <c r="AR15" i="1"/>
  <c r="F102" i="1"/>
  <c r="B109" i="1"/>
  <c r="B111" i="1" s="1"/>
  <c r="AZ6" i="1"/>
  <c r="J113" i="1"/>
  <c r="J116" i="1" s="1"/>
  <c r="V111" i="1"/>
  <c r="AY18" i="1"/>
  <c r="AZ109" i="1"/>
  <c r="AV117" i="1"/>
  <c r="AX110" i="1"/>
  <c r="BC110" i="1" s="1"/>
  <c r="AD27" i="1"/>
  <c r="P117" i="1"/>
  <c r="AX108" i="1"/>
  <c r="AP102" i="1"/>
  <c r="AX107" i="1"/>
  <c r="AD113" i="1"/>
  <c r="AD116" i="1" s="1"/>
  <c r="AS117" i="1"/>
  <c r="D117" i="1"/>
  <c r="AH27" i="1"/>
  <c r="AP27" i="1"/>
  <c r="AN20" i="1"/>
  <c r="AN28" i="1" s="1"/>
  <c r="AA117" i="1"/>
  <c r="AP115" i="1"/>
  <c r="AP116" i="1" s="1"/>
  <c r="AR116" i="1"/>
  <c r="AZ102" i="1"/>
  <c r="Z82" i="1"/>
  <c r="AU15" i="1"/>
  <c r="AU28" i="1" s="1"/>
  <c r="AR20" i="1"/>
  <c r="N13" i="1"/>
  <c r="N15" i="1" s="1"/>
  <c r="Z113" i="1"/>
  <c r="Z116" i="1" s="1"/>
  <c r="AX78" i="1"/>
  <c r="BC78" i="1" s="1"/>
  <c r="X117" i="1"/>
  <c r="L20" i="1"/>
  <c r="W15" i="1"/>
  <c r="W28" i="1" s="1"/>
  <c r="J102" i="1"/>
  <c r="R113" i="1"/>
  <c r="R116" i="1" s="1"/>
  <c r="AJ111" i="1"/>
  <c r="V27" i="1"/>
  <c r="AO28" i="1"/>
  <c r="AQ20" i="1"/>
  <c r="Z6" i="1"/>
  <c r="V82" i="1"/>
  <c r="R27" i="1"/>
  <c r="Q28" i="1"/>
  <c r="V17" i="1"/>
  <c r="S15" i="1"/>
  <c r="S28" i="1" s="1"/>
  <c r="AX99" i="1"/>
  <c r="BC99" i="1" s="1"/>
  <c r="AL109" i="1"/>
  <c r="AL111" i="1" s="1"/>
  <c r="AY109" i="1"/>
  <c r="O111" i="1"/>
  <c r="O117" i="1" s="1"/>
  <c r="AP7" i="1"/>
  <c r="AX63" i="1"/>
  <c r="BC63" i="1" s="1"/>
  <c r="AH82" i="1"/>
  <c r="AT27" i="1"/>
  <c r="AX22" i="1"/>
  <c r="BC22" i="1" s="1"/>
  <c r="J27" i="1"/>
  <c r="AL27" i="1"/>
  <c r="N27" i="1"/>
  <c r="AZ19" i="1"/>
  <c r="AZ18" i="1"/>
  <c r="F17" i="1"/>
  <c r="F20" i="1" s="1"/>
  <c r="Z20" i="1"/>
  <c r="AB20" i="1"/>
  <c r="AB28" i="1" s="1"/>
  <c r="P15" i="1"/>
  <c r="AY57" i="2"/>
  <c r="AX41" i="1"/>
  <c r="BC41" i="1" s="1"/>
  <c r="C15" i="1"/>
  <c r="C28" i="1" s="1"/>
  <c r="H28" i="1"/>
  <c r="AX9" i="1"/>
  <c r="BC9" i="1" s="1"/>
  <c r="B6" i="1"/>
  <c r="AX105" i="1"/>
  <c r="AX31" i="1"/>
  <c r="AZ106" i="1"/>
  <c r="T117" i="1"/>
  <c r="G15" i="1"/>
  <c r="G28" i="1" s="1"/>
  <c r="AE111" i="1"/>
  <c r="AN117" i="1"/>
  <c r="N111" i="1"/>
  <c r="T20" i="1"/>
  <c r="T28" i="1" s="1"/>
  <c r="AD20" i="1"/>
  <c r="L15" i="1"/>
  <c r="AY27" i="1"/>
  <c r="AP82" i="1"/>
  <c r="AY12" i="1"/>
  <c r="AT15" i="1"/>
  <c r="B18" i="1"/>
  <c r="B20" i="1" s="1"/>
  <c r="R106" i="1"/>
  <c r="AX106" i="1" s="1"/>
  <c r="AS28" i="1"/>
  <c r="J14" i="1"/>
  <c r="J15" i="1" s="1"/>
  <c r="AD15" i="1"/>
  <c r="N82" i="1"/>
  <c r="AH5" i="1"/>
  <c r="AH15" i="1" s="1"/>
  <c r="AL82" i="1"/>
  <c r="AY6" i="1"/>
  <c r="AQ15" i="1"/>
  <c r="Z27" i="1"/>
  <c r="AI15" i="1"/>
  <c r="AI28" i="1" s="1"/>
  <c r="AX10" i="1"/>
  <c r="BC10" i="1" s="1"/>
  <c r="AK28" i="1"/>
  <c r="AX8" i="1"/>
  <c r="BC8" i="1" s="1"/>
  <c r="N19" i="1"/>
  <c r="N20" i="1" s="1"/>
  <c r="AY5" i="1"/>
  <c r="AY13" i="1"/>
  <c r="AF117" i="1"/>
  <c r="W117" i="1"/>
  <c r="U117" i="1"/>
  <c r="AL18" i="1"/>
  <c r="AL20" i="1" s="1"/>
  <c r="R20" i="1"/>
  <c r="AZ7" i="1"/>
  <c r="AX95" i="1"/>
  <c r="BC95" i="1" s="1"/>
  <c r="BC102" i="1" s="1"/>
  <c r="AY8" i="1"/>
  <c r="AD111" i="1"/>
  <c r="J111" i="1"/>
  <c r="AX114" i="1"/>
  <c r="BC114" i="1" s="1"/>
  <c r="Z111" i="1"/>
  <c r="AH111" i="1"/>
  <c r="S117" i="1"/>
  <c r="AT82" i="1"/>
  <c r="R7" i="1"/>
  <c r="R15" i="1" s="1"/>
  <c r="F120" i="1"/>
  <c r="AH20" i="1"/>
  <c r="X15" i="1"/>
  <c r="V12" i="1"/>
  <c r="AX12" i="1" s="1"/>
  <c r="BC12" i="1" s="1"/>
  <c r="AY14" i="1"/>
  <c r="AX26" i="1"/>
  <c r="BC26" i="1" s="1"/>
  <c r="AZ5" i="1"/>
  <c r="AA15" i="1"/>
  <c r="AA28" i="1" s="1"/>
  <c r="AP111" i="1"/>
  <c r="AT111" i="1"/>
  <c r="J18" i="1"/>
  <c r="J20" i="1" s="1"/>
  <c r="O15" i="1"/>
  <c r="O28" i="1" s="1"/>
  <c r="AW28" i="1"/>
  <c r="AJ20" i="1"/>
  <c r="AJ28" i="1" s="1"/>
  <c r="J82" i="1"/>
  <c r="M28" i="1"/>
  <c r="AX92" i="1"/>
  <c r="Z102" i="1"/>
  <c r="AY17" i="1"/>
  <c r="V113" i="1"/>
  <c r="V116" i="1" s="1"/>
  <c r="AE20" i="1"/>
  <c r="AE28" i="1" s="1"/>
  <c r="AX104" i="1"/>
  <c r="BC104" i="1" s="1"/>
  <c r="BC111" i="1" s="1"/>
  <c r="AM116" i="1"/>
  <c r="AM117" i="1" s="1"/>
  <c r="AL113" i="1"/>
  <c r="AL116" i="1" s="1"/>
  <c r="H116" i="1"/>
  <c r="H117" i="1" s="1"/>
  <c r="F113" i="1"/>
  <c r="F116" i="1" s="1"/>
  <c r="E28" i="1"/>
  <c r="P20" i="1"/>
  <c r="AI117" i="1"/>
  <c r="AY7" i="1"/>
  <c r="C116" i="1"/>
  <c r="C117" i="1" s="1"/>
  <c r="F15" i="1"/>
  <c r="AZ27" i="1"/>
  <c r="AU116" i="1"/>
  <c r="AU117" i="1" s="1"/>
  <c r="I117" i="1"/>
  <c r="AM20" i="1"/>
  <c r="AT18" i="1"/>
  <c r="AT20" i="1" s="1"/>
  <c r="AV20" i="1"/>
  <c r="AV28" i="1" s="1"/>
  <c r="AZ17" i="1"/>
  <c r="D20" i="1"/>
  <c r="D28" i="1" s="1"/>
  <c r="I28" i="1"/>
  <c r="AP17" i="1"/>
  <c r="AP20" i="1" s="1"/>
  <c r="AC28" i="1"/>
  <c r="AD82" i="1"/>
  <c r="AP5" i="1"/>
  <c r="AT57" i="2"/>
  <c r="J57" i="2"/>
  <c r="AP57" i="2"/>
  <c r="AH57" i="2"/>
  <c r="N57" i="2"/>
  <c r="AD57" i="2"/>
  <c r="V57" i="2"/>
  <c r="AZ55" i="2"/>
  <c r="AZ57" i="2" s="1"/>
  <c r="AX22" i="2"/>
  <c r="AX55" i="2" s="1"/>
  <c r="AL57" i="2"/>
  <c r="AX20" i="2"/>
  <c r="Z57" i="2"/>
  <c r="AX30" i="1"/>
  <c r="AX79" i="1"/>
  <c r="AZ82" i="1"/>
  <c r="AX62" i="1"/>
  <c r="AX38" i="1"/>
  <c r="B82" i="1"/>
  <c r="AX100" i="1"/>
  <c r="AY82" i="1"/>
  <c r="C120" i="1"/>
  <c r="F57" i="2"/>
  <c r="R57" i="2"/>
  <c r="B57" i="2"/>
  <c r="AY120" i="1" l="1"/>
  <c r="AX120" i="1" s="1"/>
  <c r="AY113" i="1"/>
  <c r="AH113" i="1"/>
  <c r="AH116" i="1" s="1"/>
  <c r="H58" i="2"/>
  <c r="G58" i="2"/>
  <c r="AB58" i="2"/>
  <c r="AA58" i="2"/>
  <c r="X58" i="2"/>
  <c r="W58" i="2"/>
  <c r="AQ58" i="2"/>
  <c r="AR58" i="2"/>
  <c r="B15" i="1"/>
  <c r="AJ58" i="2"/>
  <c r="AI58" i="2"/>
  <c r="C58" i="2"/>
  <c r="D58" i="2"/>
  <c r="AF58" i="2"/>
  <c r="AE58" i="2"/>
  <c r="L58" i="2"/>
  <c r="K58" i="2"/>
  <c r="S58" i="2"/>
  <c r="T58" i="2"/>
  <c r="AN58" i="2"/>
  <c r="AM58" i="2"/>
  <c r="P58" i="2"/>
  <c r="O58" i="2"/>
  <c r="AV58" i="2"/>
  <c r="AU58" i="2"/>
  <c r="N113" i="1"/>
  <c r="N116" i="1" s="1"/>
  <c r="AX116" i="1" s="1"/>
  <c r="AZ15" i="1"/>
  <c r="BC82" i="1"/>
  <c r="AX23" i="1"/>
  <c r="BC23" i="1" s="1"/>
  <c r="BC27" i="1" s="1"/>
  <c r="V15" i="1"/>
  <c r="AR117" i="1"/>
  <c r="AZ111" i="1"/>
  <c r="AR28" i="1"/>
  <c r="AX13" i="1"/>
  <c r="BC13" i="1" s="1"/>
  <c r="Z15" i="1"/>
  <c r="Z28" i="1" s="1"/>
  <c r="B117" i="1"/>
  <c r="N117" i="1"/>
  <c r="AX109" i="1"/>
  <c r="AJ117" i="1"/>
  <c r="V117" i="1"/>
  <c r="AX17" i="1"/>
  <c r="BC17" i="1" s="1"/>
  <c r="J117" i="1"/>
  <c r="AD117" i="1"/>
  <c r="AP15" i="1"/>
  <c r="AQ28" i="1"/>
  <c r="F117" i="1"/>
  <c r="AX115" i="1"/>
  <c r="BC115" i="1" s="1"/>
  <c r="L28" i="1"/>
  <c r="AX6" i="1"/>
  <c r="BC6" i="1" s="1"/>
  <c r="AX102" i="1"/>
  <c r="V20" i="1"/>
  <c r="AX20" i="1" s="1"/>
  <c r="AH117" i="1"/>
  <c r="R111" i="1"/>
  <c r="R117" i="1" s="1"/>
  <c r="AY111" i="1"/>
  <c r="AT28" i="1"/>
  <c r="AX7" i="1"/>
  <c r="AX27" i="1"/>
  <c r="N28" i="1"/>
  <c r="AX19" i="1"/>
  <c r="BC19" i="1" s="1"/>
  <c r="F28" i="1"/>
  <c r="P28" i="1"/>
  <c r="AL28" i="1"/>
  <c r="AD28" i="1"/>
  <c r="R28" i="1"/>
  <c r="B28" i="1"/>
  <c r="AY116" i="1"/>
  <c r="AX5" i="1"/>
  <c r="BC5" i="1" s="1"/>
  <c r="AX14" i="1"/>
  <c r="BC14" i="1" s="1"/>
  <c r="AH28" i="1"/>
  <c r="AE117" i="1"/>
  <c r="AY20" i="1"/>
  <c r="AY15" i="1"/>
  <c r="AL117" i="1"/>
  <c r="AP117" i="1"/>
  <c r="Z117" i="1"/>
  <c r="J28" i="1"/>
  <c r="AM28" i="1"/>
  <c r="AX18" i="1"/>
  <c r="BC18" i="1" s="1"/>
  <c r="AT117" i="1"/>
  <c r="AZ116" i="1"/>
  <c r="AZ20" i="1"/>
  <c r="X28" i="1"/>
  <c r="AZ84" i="1"/>
  <c r="AX57" i="2"/>
  <c r="AY84" i="1"/>
  <c r="AX82" i="1"/>
  <c r="B120" i="1"/>
  <c r="AX84" i="1" l="1"/>
  <c r="AX113" i="1"/>
  <c r="BC113" i="1" s="1"/>
  <c r="BC116" i="1" s="1"/>
  <c r="BC117" i="1" s="1"/>
  <c r="AZ58" i="2"/>
  <c r="AY58" i="2"/>
  <c r="BC20" i="1"/>
  <c r="BC15" i="1"/>
  <c r="V28" i="1"/>
  <c r="AY117" i="1"/>
  <c r="AZ117" i="1"/>
  <c r="P89" i="1"/>
  <c r="P121" i="1" s="1"/>
  <c r="P122" i="1" s="1"/>
  <c r="P125" i="1" s="1"/>
  <c r="AX15" i="1"/>
  <c r="AP28" i="1"/>
  <c r="AY28" i="1"/>
  <c r="AX111" i="1"/>
  <c r="AX117" i="1"/>
  <c r="AZ28" i="1"/>
  <c r="N87" i="1"/>
  <c r="N88" i="1"/>
  <c r="N86" i="1"/>
  <c r="V88" i="1"/>
  <c r="AD86" i="1"/>
  <c r="BC28" i="1" l="1"/>
  <c r="BC121" i="1" s="1"/>
  <c r="AX28" i="1"/>
  <c r="AV89" i="1"/>
  <c r="AF89" i="1"/>
  <c r="AF121" i="1" s="1"/>
  <c r="AF122" i="1" s="1"/>
  <c r="AF125" i="1" s="1"/>
  <c r="AT86" i="1"/>
  <c r="AP88" i="1"/>
  <c r="AT88" i="1"/>
  <c r="AT87" i="1"/>
  <c r="AL87" i="1"/>
  <c r="AP86" i="1"/>
  <c r="AD87" i="1"/>
  <c r="AD88" i="1"/>
  <c r="X89" i="1"/>
  <c r="X121" i="1" s="1"/>
  <c r="AH86" i="1"/>
  <c r="V86" i="1"/>
  <c r="V87" i="1"/>
  <c r="J86" i="1"/>
  <c r="J87" i="1"/>
  <c r="AH88" i="1"/>
  <c r="R87" i="1"/>
  <c r="AL88" i="1"/>
  <c r="L89" i="1"/>
  <c r="L121" i="1" s="1"/>
  <c r="AA89" i="1"/>
  <c r="AA121" i="1" s="1"/>
  <c r="AP87" i="1"/>
  <c r="J88" i="1"/>
  <c r="F87" i="1"/>
  <c r="AZ86" i="1"/>
  <c r="R88" i="1"/>
  <c r="F88" i="1"/>
  <c r="AL85" i="1"/>
  <c r="AM89" i="1"/>
  <c r="AM121" i="1" s="1"/>
  <c r="S89" i="1"/>
  <c r="S121" i="1" s="1"/>
  <c r="AH87" i="1"/>
  <c r="AH85" i="1"/>
  <c r="AJ89" i="1"/>
  <c r="AJ121" i="1" s="1"/>
  <c r="AJ122" i="1" s="1"/>
  <c r="AJ125" i="1" s="1"/>
  <c r="AN89" i="1"/>
  <c r="AN121" i="1" s="1"/>
  <c r="AN122" i="1" s="1"/>
  <c r="AN125" i="1" s="1"/>
  <c r="Z87" i="1"/>
  <c r="AR89" i="1"/>
  <c r="AR121" i="1" s="1"/>
  <c r="AR122" i="1" s="1"/>
  <c r="AR125" i="1" s="1"/>
  <c r="F86" i="1"/>
  <c r="AP85" i="1"/>
  <c r="AQ89" i="1"/>
  <c r="AQ121" i="1" s="1"/>
  <c r="J85" i="1"/>
  <c r="AD85" i="1"/>
  <c r="AE89" i="1"/>
  <c r="AE121" i="1" s="1"/>
  <c r="Z85" i="1"/>
  <c r="AB89" i="1"/>
  <c r="AB121" i="1" s="1"/>
  <c r="AB122" i="1" s="1"/>
  <c r="AB125" i="1" s="1"/>
  <c r="AI89" i="1"/>
  <c r="AI121" i="1" s="1"/>
  <c r="Z88" i="1"/>
  <c r="V85" i="1"/>
  <c r="W89" i="1"/>
  <c r="W121" i="1" s="1"/>
  <c r="W122" i="1" s="1"/>
  <c r="F85" i="1"/>
  <c r="G89" i="1"/>
  <c r="G121" i="1" s="1"/>
  <c r="T89" i="1"/>
  <c r="T121" i="1" s="1"/>
  <c r="T122" i="1" s="1"/>
  <c r="T125" i="1" s="1"/>
  <c r="AZ87" i="1"/>
  <c r="AZ88" i="1"/>
  <c r="AL86" i="1"/>
  <c r="H89" i="1"/>
  <c r="H121" i="1" s="1"/>
  <c r="H122" i="1" s="1"/>
  <c r="H125" i="1" s="1"/>
  <c r="AT85" i="1"/>
  <c r="AU89" i="1"/>
  <c r="AU121" i="1" s="1"/>
  <c r="Z86" i="1"/>
  <c r="N85" i="1"/>
  <c r="N89" i="1" s="1"/>
  <c r="O89" i="1"/>
  <c r="O121" i="1" s="1"/>
  <c r="B88" i="1"/>
  <c r="AY88" i="1"/>
  <c r="B86" i="1"/>
  <c r="AY86" i="1"/>
  <c r="AY87" i="1"/>
  <c r="B87" i="1"/>
  <c r="AZ85" i="1"/>
  <c r="D89" i="1"/>
  <c r="D121" i="1" s="1"/>
  <c r="B85" i="1"/>
  <c r="AY85" i="1"/>
  <c r="C89" i="1"/>
  <c r="L122" i="1" l="1"/>
  <c r="J122" i="1" s="1"/>
  <c r="J125" i="1" s="1"/>
  <c r="J138" i="1" s="1"/>
  <c r="J141" i="1" s="1"/>
  <c r="J121" i="1"/>
  <c r="F121" i="1"/>
  <c r="AV121" i="1"/>
  <c r="AV122" i="1" s="1"/>
  <c r="AV125" i="1" s="1"/>
  <c r="N121" i="1"/>
  <c r="O122" i="1"/>
  <c r="K125" i="1"/>
  <c r="V121" i="1"/>
  <c r="X122" i="1"/>
  <c r="X125" i="1" s="1"/>
  <c r="J89" i="1"/>
  <c r="AL121" i="1"/>
  <c r="AM122" i="1"/>
  <c r="Z121" i="1"/>
  <c r="AA122" i="1"/>
  <c r="AD121" i="1"/>
  <c r="AE122" i="1"/>
  <c r="AP121" i="1"/>
  <c r="AQ122" i="1"/>
  <c r="W125" i="1"/>
  <c r="AU122" i="1"/>
  <c r="AH121" i="1"/>
  <c r="AI122" i="1"/>
  <c r="R121" i="1"/>
  <c r="S122" i="1"/>
  <c r="AD89" i="1"/>
  <c r="V89" i="1"/>
  <c r="AT89" i="1"/>
  <c r="AX86" i="1"/>
  <c r="F89" i="1"/>
  <c r="AX88" i="1"/>
  <c r="AL89" i="1"/>
  <c r="AP89" i="1"/>
  <c r="R89" i="1"/>
  <c r="AX87" i="1"/>
  <c r="Z89" i="1"/>
  <c r="G122" i="1"/>
  <c r="AH89" i="1"/>
  <c r="AZ89" i="1"/>
  <c r="AZ121" i="1" s="1"/>
  <c r="AZ122" i="1" s="1"/>
  <c r="AZ125" i="1" s="1"/>
  <c r="D122" i="1"/>
  <c r="AY89" i="1"/>
  <c r="AY121" i="1" s="1"/>
  <c r="C121" i="1"/>
  <c r="AX85" i="1"/>
  <c r="B89" i="1"/>
  <c r="L125" i="1" l="1"/>
  <c r="AT121" i="1"/>
  <c r="D125" i="1"/>
  <c r="D144" i="1"/>
  <c r="D160" i="1" s="1"/>
  <c r="V122" i="1"/>
  <c r="V125" i="1" s="1"/>
  <c r="AH122" i="1"/>
  <c r="AH125" i="1" s="1"/>
  <c r="AI125" i="1"/>
  <c r="AQ125" i="1"/>
  <c r="AP122" i="1"/>
  <c r="AP125" i="1" s="1"/>
  <c r="AA125" i="1"/>
  <c r="Z122" i="1"/>
  <c r="Z125" i="1" s="1"/>
  <c r="O125" i="1"/>
  <c r="N122" i="1"/>
  <c r="N125" i="1" s="1"/>
  <c r="AX121" i="1"/>
  <c r="AY122" i="1"/>
  <c r="S125" i="1"/>
  <c r="R122" i="1"/>
  <c r="R125" i="1" s="1"/>
  <c r="AT122" i="1"/>
  <c r="AT125" i="1" s="1"/>
  <c r="AU125" i="1"/>
  <c r="AD122" i="1"/>
  <c r="AD125" i="1" s="1"/>
  <c r="AE125" i="1"/>
  <c r="AM125" i="1"/>
  <c r="AL122" i="1"/>
  <c r="AL125" i="1" s="1"/>
  <c r="F122" i="1"/>
  <c r="F125" i="1" s="1"/>
  <c r="F138" i="1" s="1"/>
  <c r="F141" i="1" s="1"/>
  <c r="G125" i="1"/>
  <c r="AX89" i="1"/>
  <c r="C122" i="1"/>
  <c r="C144" i="1" s="1"/>
  <c r="C160" i="1" s="1"/>
  <c r="B121" i="1"/>
  <c r="Z138" i="1" l="1"/>
  <c r="Z141" i="1" s="1"/>
  <c r="AT138" i="1"/>
  <c r="AT141" i="1" s="1"/>
  <c r="AH138" i="1"/>
  <c r="AH141" i="1" s="1"/>
  <c r="AD138" i="1"/>
  <c r="AD141" i="1" s="1"/>
  <c r="AL138" i="1"/>
  <c r="AL141" i="1" s="1"/>
  <c r="R138" i="1"/>
  <c r="R141" i="1" s="1"/>
  <c r="N138" i="1"/>
  <c r="N141" i="1" s="1"/>
  <c r="AP138" i="1"/>
  <c r="AP141" i="1" s="1"/>
  <c r="V138" i="1"/>
  <c r="V141" i="1" s="1"/>
  <c r="AY125" i="1"/>
  <c r="AX122" i="1"/>
  <c r="AX125" i="1" s="1"/>
  <c r="B122" i="1"/>
  <c r="C125" i="1"/>
  <c r="B125" i="1" l="1"/>
  <c r="B144" i="1"/>
  <c r="B160" i="1" s="1"/>
  <c r="B138" i="1" l="1"/>
  <c r="B14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Freitas</author>
  </authors>
  <commentList>
    <comment ref="C41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Carlos Freitas:</t>
        </r>
        <r>
          <rPr>
            <sz val="9"/>
            <color indexed="81"/>
            <rFont val="Segoe UI"/>
            <family val="2"/>
          </rPr>
          <t xml:space="preserve">
R$1.500,00 adiantamento de salário pago diretamente pelo Marcos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Freitas</author>
  </authors>
  <commentList>
    <comment ref="B159" authorId="0" shapeId="0" xr:uid="{28075632-CE1D-47F5-94E6-8692608672B5}">
      <text>
        <r>
          <rPr>
            <b/>
            <sz val="9"/>
            <color indexed="81"/>
            <rFont val="Segoe UI"/>
            <family val="2"/>
          </rPr>
          <t>Carlos Freitas:</t>
        </r>
        <r>
          <rPr>
            <sz val="9"/>
            <color indexed="81"/>
            <rFont val="Segoe UI"/>
            <family val="2"/>
          </rPr>
          <t xml:space="preserve">
2025 12
</t>
        </r>
      </text>
    </comment>
    <comment ref="B162" authorId="0" shapeId="0" xr:uid="{C3FE70C4-C215-4830-B110-D0A22E899FBE}">
      <text>
        <r>
          <rPr>
            <b/>
            <sz val="9"/>
            <color indexed="81"/>
            <rFont val="Segoe UI"/>
            <family val="2"/>
          </rPr>
          <t>Carlos Freitas:</t>
        </r>
        <r>
          <rPr>
            <sz val="9"/>
            <color indexed="81"/>
            <rFont val="Segoe UI"/>
            <family val="2"/>
          </rPr>
          <t xml:space="preserve">
2025 12
</t>
        </r>
      </text>
    </comment>
    <comment ref="B165" authorId="0" shapeId="0" xr:uid="{97CBA526-AA41-490F-AA49-853E60A58E0E}">
      <text>
        <r>
          <rPr>
            <b/>
            <sz val="9"/>
            <color indexed="81"/>
            <rFont val="Segoe UI"/>
            <family val="2"/>
          </rPr>
          <t>Carlos Freitas:</t>
        </r>
        <r>
          <rPr>
            <sz val="9"/>
            <color indexed="81"/>
            <rFont val="Segoe UI"/>
            <family val="2"/>
          </rPr>
          <t xml:space="preserve">
2025 12</t>
        </r>
      </text>
    </comment>
    <comment ref="B167" authorId="0" shapeId="0" xr:uid="{76CE7845-40BA-4C43-857E-D460495EAA86}">
      <text>
        <r>
          <rPr>
            <b/>
            <sz val="9"/>
            <color indexed="81"/>
            <rFont val="Segoe UI"/>
            <family val="2"/>
          </rPr>
          <t>Carlos Freitas:</t>
        </r>
        <r>
          <rPr>
            <sz val="9"/>
            <color indexed="81"/>
            <rFont val="Segoe UI"/>
            <family val="2"/>
          </rPr>
          <t xml:space="preserve">
?????
</t>
        </r>
      </text>
    </comment>
    <comment ref="B170" authorId="0" shapeId="0" xr:uid="{A402DAD2-37EB-461E-80F0-D11511D902C0}">
      <text>
        <r>
          <rPr>
            <b/>
            <sz val="9"/>
            <color indexed="81"/>
            <rFont val="Segoe UI"/>
            <family val="2"/>
          </rPr>
          <t>Carlos Freitas:</t>
        </r>
        <r>
          <rPr>
            <sz val="9"/>
            <color indexed="81"/>
            <rFont val="Segoe UI"/>
            <family val="2"/>
          </rPr>
          <t xml:space="preserve">
2025 12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Freitas</author>
  </authors>
  <commentList>
    <comment ref="E23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>Carlos Freitas:</t>
        </r>
        <r>
          <rPr>
            <sz val="9"/>
            <color indexed="81"/>
            <rFont val="Segoe UI"/>
            <family val="2"/>
          </rPr>
          <t xml:space="preserve">
R$780,52 Recarga de gás
</t>
        </r>
      </text>
    </comment>
    <comment ref="E85" authorId="0" shapeId="0" xr:uid="{00000000-0006-0000-0200-000002000000}">
      <text>
        <r>
          <rPr>
            <b/>
            <sz val="9"/>
            <color indexed="81"/>
            <rFont val="Segoe UI"/>
            <family val="2"/>
          </rPr>
          <t>Carlos Freitas:</t>
        </r>
        <r>
          <rPr>
            <sz val="9"/>
            <color indexed="81"/>
            <rFont val="Segoe UI"/>
            <family val="2"/>
          </rPr>
          <t xml:space="preserve">
R$1.091,50 FGTS Atrasado
</t>
        </r>
      </text>
    </comment>
    <comment ref="E86" authorId="0" shapeId="0" xr:uid="{00000000-0006-0000-0200-000003000000}">
      <text>
        <r>
          <rPr>
            <b/>
            <sz val="9"/>
            <color indexed="81"/>
            <rFont val="Segoe UI"/>
            <family val="2"/>
          </rPr>
          <t>Carlos Freitas:</t>
        </r>
        <r>
          <rPr>
            <sz val="9"/>
            <color indexed="81"/>
            <rFont val="Segoe UI"/>
            <family val="2"/>
          </rPr>
          <t xml:space="preserve">
INSS Atrasado R$3.752,42 + R$1.380,78</t>
        </r>
      </text>
    </comment>
    <comment ref="E109" authorId="0" shapeId="0" xr:uid="{00000000-0006-0000-0200-000004000000}">
      <text>
        <r>
          <rPr>
            <b/>
            <sz val="9"/>
            <color indexed="81"/>
            <rFont val="Segoe UI"/>
            <family val="2"/>
          </rPr>
          <t>Carlos Freitas:</t>
        </r>
        <r>
          <rPr>
            <sz val="9"/>
            <color indexed="81"/>
            <rFont val="Segoe UI"/>
            <family val="2"/>
          </rPr>
          <t xml:space="preserve">
R$4.979,59 Simples Nacional 2025 01 e R$1030,63 Simples Nacional 2025 02
</t>
        </r>
      </text>
    </comment>
    <comment ref="B128" authorId="0" shapeId="0" xr:uid="{BC52632D-885F-4D2B-BF03-00E4945DB5B0}">
      <text>
        <r>
          <rPr>
            <b/>
            <sz val="9"/>
            <color indexed="81"/>
            <rFont val="Segoe UI"/>
            <family val="2"/>
          </rPr>
          <t>Carlos Freitas:</t>
        </r>
        <r>
          <rPr>
            <sz val="9"/>
            <color indexed="81"/>
            <rFont val="Segoe UI"/>
            <family val="2"/>
          </rPr>
          <t xml:space="preserve">
Foto 2.250,00</t>
        </r>
      </text>
    </comment>
    <comment ref="F128" authorId="0" shapeId="0" xr:uid="{FDB58B54-5A4D-40D8-8055-434BD3F6EBB3}">
      <text>
        <r>
          <rPr>
            <b/>
            <sz val="9"/>
            <color indexed="81"/>
            <rFont val="Segoe UI"/>
            <family val="2"/>
          </rPr>
          <t>Carlos Freitas:</t>
        </r>
        <r>
          <rPr>
            <sz val="9"/>
            <color indexed="81"/>
            <rFont val="Segoe UI"/>
            <family val="2"/>
          </rPr>
          <t xml:space="preserve">
Zeli Com Aluguel 572,00
Limpeza 450,00
Tamires Complem. Sal. 951,17
</t>
        </r>
      </text>
    </comment>
    <comment ref="J128" authorId="0" shapeId="0" xr:uid="{C74B99CF-037B-401F-9E57-E936798E50D3}">
      <text>
        <r>
          <rPr>
            <b/>
            <sz val="9"/>
            <color indexed="81"/>
            <rFont val="Segoe UI"/>
            <family val="2"/>
          </rPr>
          <t>Carlos Freitas:</t>
        </r>
        <r>
          <rPr>
            <sz val="9"/>
            <color indexed="81"/>
            <rFont val="Segoe UI"/>
            <family val="2"/>
          </rPr>
          <t xml:space="preserve">
Limpeza 450,00
Richard Com Aluguel 1.917,00
Eduardo Salario 1.647,26</t>
        </r>
      </text>
    </comment>
    <comment ref="F129" authorId="0" shapeId="0" xr:uid="{B9E0D902-5374-4F97-82E2-9150E9A49737}">
      <text>
        <r>
          <rPr>
            <b/>
            <sz val="9"/>
            <color indexed="81"/>
            <rFont val="Segoe UI"/>
            <family val="2"/>
          </rPr>
          <t>Carlos Freitas:</t>
        </r>
        <r>
          <rPr>
            <sz val="9"/>
            <color indexed="81"/>
            <rFont val="Segoe UI"/>
            <family val="2"/>
          </rPr>
          <t xml:space="preserve">
Diferença Contabilidade 164,49</t>
        </r>
      </text>
    </comment>
    <comment ref="J129" authorId="0" shapeId="0" xr:uid="{889CAC4B-8147-41E1-B2AC-F25C296A48D3}">
      <text>
        <r>
          <rPr>
            <b/>
            <sz val="9"/>
            <color indexed="81"/>
            <rFont val="Segoe UI"/>
            <family val="2"/>
          </rPr>
          <t>Carlos Freitas:</t>
        </r>
        <r>
          <rPr>
            <sz val="9"/>
            <color indexed="81"/>
            <rFont val="Segoe UI"/>
            <family val="2"/>
          </rPr>
          <t xml:space="preserve">
R$5.061,39 Devolução de empréstimo</t>
        </r>
      </text>
    </comment>
    <comment ref="B130" authorId="0" shapeId="0" xr:uid="{B5097DF9-B187-4B5A-9923-E605A41CA799}">
      <text>
        <r>
          <rPr>
            <b/>
            <sz val="9"/>
            <color indexed="81"/>
            <rFont val="Segoe UI"/>
            <family val="2"/>
          </rPr>
          <t>Carlos Freitas:</t>
        </r>
        <r>
          <rPr>
            <sz val="9"/>
            <color indexed="81"/>
            <rFont val="Segoe UI"/>
            <family val="2"/>
          </rPr>
          <t xml:space="preserve">
Eduardo 1.500,00
Uber 1259,26
</t>
        </r>
      </text>
    </comment>
    <comment ref="F130" authorId="0" shapeId="0" xr:uid="{06FD147B-DBAB-4A73-91E2-3944A9FD8CA2}">
      <text>
        <r>
          <rPr>
            <b/>
            <sz val="9"/>
            <color indexed="81"/>
            <rFont val="Segoe UI"/>
            <family val="2"/>
          </rPr>
          <t>Carlos Freitas:</t>
        </r>
        <r>
          <rPr>
            <sz val="9"/>
            <color indexed="81"/>
            <rFont val="Segoe UI"/>
            <family val="2"/>
          </rPr>
          <t xml:space="preserve">
Uber 1.542,71</t>
        </r>
      </text>
    </comment>
    <comment ref="J130" authorId="0" shapeId="0" xr:uid="{31DABB02-9155-4741-97CB-6BCAD1CFDAB2}">
      <text>
        <r>
          <rPr>
            <b/>
            <sz val="9"/>
            <color indexed="81"/>
            <rFont val="Segoe UI"/>
            <family val="2"/>
          </rPr>
          <t>Carlos Freitas:</t>
        </r>
        <r>
          <rPr>
            <sz val="9"/>
            <color indexed="81"/>
            <rFont val="Segoe UI"/>
            <family val="2"/>
          </rPr>
          <t xml:space="preserve">
Empréstimo R$9.999,00
Sal Eduardo R$3.850,50
Sal Gabriele R$2.843,26
Sal Michele R$2.437,38
Uber R$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Andreia Freitas</author>
  </authors>
  <commentList>
    <comment ref="AZ1" authorId="0" shapeId="0" xr:uid="{00000000-0006-0000-0300-000001000000}">
      <text>
        <r>
          <rPr>
            <b/>
            <sz val="9"/>
            <color indexed="81"/>
            <rFont val="Segoe UI"/>
            <family val="2"/>
          </rPr>
          <t>Andreia Freitas: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<sst xmlns="http://schemas.openxmlformats.org/spreadsheetml/2006/main" count="641" uniqueCount="390">
  <si>
    <t>VENDA</t>
  </si>
  <si>
    <t>LOCAÇÃO</t>
  </si>
  <si>
    <t>CONTAS DE CONSUMO</t>
  </si>
  <si>
    <t>GASTOS ESPAÇO FÍSICO</t>
  </si>
  <si>
    <t>Água Mineral</t>
  </si>
  <si>
    <t>Aluguel /IPTU</t>
  </si>
  <si>
    <t>CELULARES</t>
  </si>
  <si>
    <t>Claro - celular</t>
  </si>
  <si>
    <t>andressa</t>
  </si>
  <si>
    <t>Extintores</t>
  </si>
  <si>
    <t>Informática</t>
  </si>
  <si>
    <t>douglas</t>
  </si>
  <si>
    <t>Limpeza da Loja</t>
  </si>
  <si>
    <t>recepção</t>
  </si>
  <si>
    <t>jonas</t>
  </si>
  <si>
    <t>Segurança SP</t>
  </si>
  <si>
    <t>TOTAL</t>
  </si>
  <si>
    <t>MATERIAL</t>
  </si>
  <si>
    <t>Mantimentos</t>
  </si>
  <si>
    <t>Material de limpeza</t>
  </si>
  <si>
    <t>Material de escritório</t>
  </si>
  <si>
    <t>MANUTENÇÃO</t>
  </si>
  <si>
    <t>Manutenção</t>
  </si>
  <si>
    <t>Manutenção dos computadores</t>
  </si>
  <si>
    <t>Outro</t>
  </si>
  <si>
    <t>TOTAL CONTAS DE CONSUMO</t>
  </si>
  <si>
    <t>CONTAS OPERACIONAIS VENDA</t>
  </si>
  <si>
    <t>ASSOCI</t>
  </si>
  <si>
    <t>Ação de marketing / material de divulgação</t>
  </si>
  <si>
    <t>Assinatura Digital/aplicativo</t>
  </si>
  <si>
    <t>Campanha Agenciamento (voulcher p almço)</t>
  </si>
  <si>
    <t>Campanha Semestral</t>
  </si>
  <si>
    <t>Campanhas outras</t>
  </si>
  <si>
    <t>Cartões de visita</t>
  </si>
  <si>
    <t>Certidões/procuração/matrículas</t>
  </si>
  <si>
    <t>CHAVE NA MÃO</t>
  </si>
  <si>
    <t>Chaveiros (identicação de chaves)</t>
  </si>
  <si>
    <t>CHECKON</t>
  </si>
  <si>
    <t>Creci PF</t>
  </si>
  <si>
    <t>Creci PJ</t>
  </si>
  <si>
    <t>Cópia de chaves</t>
  </si>
  <si>
    <t>Disparos</t>
  </si>
  <si>
    <t>Espumante</t>
  </si>
  <si>
    <t>Etiquetas</t>
  </si>
  <si>
    <t>EVENTOS</t>
  </si>
  <si>
    <t>Facebook/instagran - impulsionamento</t>
  </si>
  <si>
    <t>Facebook/instagran - mensal</t>
  </si>
  <si>
    <t>Faixas/ Baners</t>
  </si>
  <si>
    <t>Folders / Panfletos em geral</t>
  </si>
  <si>
    <t>Folha timbrada</t>
  </si>
  <si>
    <t>Folha timbrada vitrine</t>
  </si>
  <si>
    <t>FOTOS</t>
  </si>
  <si>
    <t>VIDEO</t>
  </si>
  <si>
    <t>GOOGLE IMPULSIONAMENTO</t>
  </si>
  <si>
    <t>GOOGLE MENSAL</t>
  </si>
  <si>
    <t>INFOQUALY</t>
  </si>
  <si>
    <t>Lacre para placas</t>
  </si>
  <si>
    <t>Motoboy</t>
  </si>
  <si>
    <t>Pastas AP</t>
  </si>
  <si>
    <t xml:space="preserve">Placas flexiveis </t>
  </si>
  <si>
    <t xml:space="preserve">Placas grandes com estacas </t>
  </si>
  <si>
    <t>Placas PS</t>
  </si>
  <si>
    <t>Presentes</t>
  </si>
  <si>
    <t>Procob - créditos</t>
  </si>
  <si>
    <t>Procob - mensal</t>
  </si>
  <si>
    <t>QR CODE</t>
  </si>
  <si>
    <t>QUIRES</t>
  </si>
  <si>
    <t>SITE</t>
  </si>
  <si>
    <t>Toner / cartucho</t>
  </si>
  <si>
    <t>ZAP PJ</t>
  </si>
  <si>
    <t>ZAP PF</t>
  </si>
  <si>
    <t>TOTAL GASTOS OPERACIONAIS VENDA</t>
  </si>
  <si>
    <t>Uber</t>
  </si>
  <si>
    <t>Vistorias</t>
  </si>
  <si>
    <t>FOLHA DE PAGAMENTO VENDA</t>
  </si>
  <si>
    <t>CIEE/Agiel</t>
  </si>
  <si>
    <t>Estagio-seguro</t>
  </si>
  <si>
    <t>FGTS</t>
  </si>
  <si>
    <t>GPS/INSS</t>
  </si>
  <si>
    <t>GSO - Esocial</t>
  </si>
  <si>
    <t>Pro-labore</t>
  </si>
  <si>
    <t>VA</t>
  </si>
  <si>
    <t>VT</t>
  </si>
  <si>
    <t>Recepção</t>
  </si>
  <si>
    <t>substituição das Férias</t>
  </si>
  <si>
    <t>Recepção- Giovana</t>
  </si>
  <si>
    <t>Shaiane</t>
  </si>
  <si>
    <t>SECOVIMED (Plano de Saúde)</t>
  </si>
  <si>
    <t>FOLHA DE PAGAMENTO ALUGUEL</t>
  </si>
  <si>
    <t>Ana Paula - Consultora</t>
  </si>
  <si>
    <t>Roberta - Consultora</t>
  </si>
  <si>
    <t>Michele - Captadora</t>
  </si>
  <si>
    <t>Vitória - Captadora</t>
  </si>
  <si>
    <t>Jonas - Manutenção</t>
  </si>
  <si>
    <t>MKT - Estagiário</t>
  </si>
  <si>
    <t>Marcos - Gerência</t>
  </si>
  <si>
    <t>Maria Esduarda</t>
  </si>
  <si>
    <t>João</t>
  </si>
  <si>
    <t>Elizangela</t>
  </si>
  <si>
    <t>Jasmin</t>
  </si>
  <si>
    <t>PROJETO HUB</t>
  </si>
  <si>
    <t>CONTAS ADMINISTRATIVAS E FINANCEIRAS</t>
  </si>
  <si>
    <t>GASTOS  ADMINISTRATIVOS</t>
  </si>
  <si>
    <t>Aquisição</t>
  </si>
  <si>
    <t>Certificação Digital</t>
  </si>
  <si>
    <t>Caixa</t>
  </si>
  <si>
    <t>Crachás</t>
  </si>
  <si>
    <t>Taxa de franquia</t>
  </si>
  <si>
    <t>Treinamento</t>
  </si>
  <si>
    <t>Sul America</t>
  </si>
  <si>
    <t>Uniforme</t>
  </si>
  <si>
    <t>IMPOSTOS</t>
  </si>
  <si>
    <t>Alvará/ taxa de fiscalização de atividade</t>
  </si>
  <si>
    <t>Contribuição Sindical</t>
  </si>
  <si>
    <r>
      <t>DAM mensal/</t>
    </r>
    <r>
      <rPr>
        <b/>
        <sz val="10"/>
        <color theme="1"/>
        <rFont val="Calibri"/>
        <family val="2"/>
        <scheme val="minor"/>
      </rPr>
      <t>ISQN</t>
    </r>
  </si>
  <si>
    <t>Secovi RS / contribuição assistencial patronal</t>
  </si>
  <si>
    <t>Semirgs</t>
  </si>
  <si>
    <t>Sindicato do Empreg. Imobiliarias RS</t>
  </si>
  <si>
    <t>DESPESAS BANCÁRIAS</t>
  </si>
  <si>
    <t>Tarifa bancária/pix</t>
  </si>
  <si>
    <t>Taxa de manutenção</t>
  </si>
  <si>
    <t>Pronampe</t>
  </si>
  <si>
    <t>TOTAL CONTAS ADMINISTRATIVAS E FINANCEIRAS</t>
  </si>
  <si>
    <t>RESULTADO</t>
  </si>
  <si>
    <t>Distribuição Sócios</t>
  </si>
  <si>
    <t>Aplicação</t>
  </si>
  <si>
    <t>Resgate</t>
  </si>
  <si>
    <t>Saldo Bancário Final</t>
  </si>
  <si>
    <t>ALUGUEL</t>
  </si>
  <si>
    <t>IA ALUGUEL - LUAN</t>
  </si>
  <si>
    <t>IA VENDA - LUAN</t>
  </si>
  <si>
    <t>Indicas e Agenciamentos</t>
  </si>
  <si>
    <t>Douglas Redes Sociais e Site</t>
  </si>
  <si>
    <t>Contratos - Rafael</t>
  </si>
  <si>
    <t>RESUMO DA FOLHA</t>
  </si>
  <si>
    <t>DESPESA COM PESSOAS</t>
  </si>
  <si>
    <t>Folha de Pagamentos</t>
  </si>
  <si>
    <t>RECEITAS</t>
  </si>
  <si>
    <t>TOTAL FATURAMENTO</t>
  </si>
  <si>
    <t>TRANSFERÊNCIAS</t>
  </si>
  <si>
    <t>TOTAL TRANSFERÊNCIA</t>
  </si>
  <si>
    <t>ROYALTY</t>
  </si>
  <si>
    <t>TOTAL ROYALTY</t>
  </si>
  <si>
    <t>FATURAMENTO TOTAL DE ALUGUEL</t>
  </si>
  <si>
    <t>CAMPANHA DE LOCAÇÃO</t>
  </si>
  <si>
    <t>CAMPANHA SUCESSO DE LOCAÇÃO</t>
  </si>
  <si>
    <t>CAMPANHA DE CAPTAÇÃO</t>
  </si>
  <si>
    <t>FATURAMENTO</t>
  </si>
  <si>
    <t>DESPESAS</t>
  </si>
  <si>
    <t>Variação do Patrimônio Líquido</t>
  </si>
  <si>
    <t>REFERÊNCIA</t>
  </si>
  <si>
    <t>Cartão de crédito BB</t>
  </si>
  <si>
    <t>Participação</t>
  </si>
  <si>
    <t>Saldo Bancário Inicial Caixa</t>
  </si>
  <si>
    <t>Saldo Bancário Pipeimob</t>
  </si>
  <si>
    <t>Saldo Bancário Final Caixa</t>
  </si>
  <si>
    <t>Saldo Bancário Final Pipeimob</t>
  </si>
  <si>
    <t>Conferência</t>
  </si>
  <si>
    <t>ACUMULADO 2026</t>
  </si>
  <si>
    <t>FATURAMENTO ALUGUEL CLIENTE</t>
  </si>
  <si>
    <t>TOTAL FATURAMENTO LÍQUIDO VENDAS</t>
  </si>
  <si>
    <t>TOTAL FATURAMENTO ALUGUEL CLIENTE</t>
  </si>
  <si>
    <t>TOTAL CAMPANHA DE CAPTAÇÃO</t>
  </si>
  <si>
    <t>TOTAL CAMPANHA DE LOCAÇÃO</t>
  </si>
  <si>
    <t>TOTAL CAMPANHA SUCESSO DE LOCAÇÃO</t>
  </si>
  <si>
    <t>OUTROS ALUGUEL</t>
  </si>
  <si>
    <t>CAIXA</t>
  </si>
  <si>
    <t>PIPEIMOB</t>
  </si>
  <si>
    <t>TRANSFERÊNCIA DO PIPEIMOBI PARA CAIXA</t>
  </si>
  <si>
    <t>Liquidação de Cobrança (boleto)</t>
  </si>
  <si>
    <t>Liquidação de Cobrança (PIX QR Code)</t>
  </si>
  <si>
    <t>Fee Transacional (franqueadora)</t>
  </si>
  <si>
    <t>TOTAL DESPESAS OPERACIONAIS DO PIPEIMOB</t>
  </si>
  <si>
    <t>DESPESAS OPERACIONAIS DO PIPEIMOB</t>
  </si>
  <si>
    <t>TRANSFERÊNCIAS PELO PIPEIMOBI</t>
  </si>
  <si>
    <t>TRANSFERÊNCIAS PELA CAIXA</t>
  </si>
  <si>
    <t>ROYALTY PAGO PELO PIPEIMOB</t>
  </si>
  <si>
    <t xml:space="preserve">NFSe - 399 - 474 2025 - Contrato 81136536 - RUA SILVA SÓ 183 APTO 203  </t>
  </si>
  <si>
    <t xml:space="preserve">NFSe - 398 - 472 2025 - Contrato 81135389 - RUA ANDRADAS, DOS 487 APTO 704  </t>
  </si>
  <si>
    <t xml:space="preserve">NFSe - 403 - 482 2025 - Contrato 81136259 - RUA DONA AUGUSTA 427 APTO 308  </t>
  </si>
  <si>
    <t xml:space="preserve">NFSe - 407 - 490 2025 - Contrato 81136245 - RUA RUA TITO LÍVIO ZAMBECARI 408 APTO 602 BOX 01 </t>
  </si>
  <si>
    <t xml:space="preserve">NFSe - 404 - 484 2025 - Contrato 81136461 - RUA GENERAL SALUSTIANO 330 APTO 507  </t>
  </si>
  <si>
    <t xml:space="preserve">NFSe - 397 - 470 2025 - Contrato 81128565 - RUA EDMUNDO BASTIAN 238 APTO 401 BOX:8 </t>
  </si>
  <si>
    <t xml:space="preserve">NFSe - 396 - 468 2025 - Contrato 81136319 - AVENIDA GUAPORÉ 560 APTO 203  </t>
  </si>
  <si>
    <t xml:space="preserve">NFSe - 395 - 466 2025 - Contrato 81136097 - RUA ANDRADAS, DOS 1234 SALA 2202  </t>
  </si>
  <si>
    <t>NFSe - 408 - 492 2025 - Contrato 81136035 - RUA CONDE DE PORTO ALEGRE 71</t>
  </si>
  <si>
    <t xml:space="preserve">NFSe - 401 e 402 - 478 e 480 2025 - Contrato 81136551 - AVENIDA CORONEL LUCAS DE OLIVEIRA 1668 APTO 301  </t>
  </si>
  <si>
    <t xml:space="preserve">NFSe - 400 - 476 2025 - Contrato 81136516 - RUA DEMÉTRIO RIBEIRO 117 APTO 603  </t>
  </si>
  <si>
    <t>NFSe - 406 - 488 2025 - Contrato 81136616 - AVENIDA GETÚLIO VARGAS 1565 APTO 102  00-TORRE ÚNICA</t>
  </si>
  <si>
    <t xml:space="preserve">NFSe - 405 - 486 2025 - Contrato 81136031 - RUA LUIZ AFONSO 307 APTO 1008  </t>
  </si>
  <si>
    <t>Campanha de Locação 2025 01</t>
  </si>
  <si>
    <t>Campanha de Captação 2025 01</t>
  </si>
  <si>
    <t xml:space="preserve"> Campanha Sucesso de Locação 2025 01</t>
  </si>
  <si>
    <t>Goethe Imóveis Pipeimobi</t>
  </si>
  <si>
    <t>Ato do contrato 189591 - Praia e Belas 1762 106 - Cleiton - Repassado no mesmo dia</t>
  </si>
  <si>
    <t>Antecipação de Comissão - Contrato 448520 - Ferreira Viana, 885, 512</t>
  </si>
  <si>
    <t>Antecipação de Comissão - Contrato 299409 (CT 12564) - Doutor Otávio Santos, 257, 507</t>
  </si>
  <si>
    <t>Antecipação de Comissão - Contrato 719417 - Reverendo Olavo Nunes, 280, 502</t>
  </si>
  <si>
    <t>Antecipação de Comissão - Contrato 308794 - HIPOLITO DA COSTA, 211, 301</t>
  </si>
  <si>
    <t>Crédito do Pipeimob ???????</t>
  </si>
  <si>
    <t>Contrato 147120 - INDEPENDENCIA, 519, 203 - Rosemeri</t>
  </si>
  <si>
    <t>Contrato 876859 (CT 12176) - Gabriel Franco da Luz 175, 308</t>
  </si>
  <si>
    <t>Contrato 272703 - GETULIO VARGAS, 1151, 516</t>
  </si>
  <si>
    <t>Contrato 474600 - Engenheiro Ludolfo Boehl, 931, 13</t>
  </si>
  <si>
    <t>Contrato 368073 - DOUTOR POSSIDONIO CUNHA, 719, 2 Parte 1 de 2</t>
  </si>
  <si>
    <t>Contrato 368073 - DOUTOR POSSIDONIO CUNHA, 719, 2 Parte 2 de 2</t>
  </si>
  <si>
    <t>Contrato 448520 - Ferreira Viana, 885, 512</t>
  </si>
  <si>
    <t>Contrato 712267 - VINTE E QUATRO DE OUTUBRO, 67, 501</t>
  </si>
  <si>
    <t>Contrato 760910 - João da Silva Bueno, 227, 222</t>
  </si>
  <si>
    <t>Contrato 722551 - GENERAL JOAO TELLES, 68, 502 Parte 1 de 2</t>
  </si>
  <si>
    <t>Contrato 722551 - GENERAL JOAO TELLES, 68, 502 Parte 2 de 2</t>
  </si>
  <si>
    <t xml:space="preserve">Reembolsode custos de transporte a cliente Manoela de Souza Dalabona </t>
  </si>
  <si>
    <t>Repasse do ato do contrato 189591 - Praia e Belas 1762 106 - Cleiton</t>
  </si>
  <si>
    <t>ENERGIA</t>
  </si>
  <si>
    <t>Contabilidade</t>
  </si>
  <si>
    <t>Algar - telefone fixo e internet</t>
  </si>
  <si>
    <t>DOC/TED Internet</t>
  </si>
  <si>
    <t>DOC/TED Pessoal</t>
  </si>
  <si>
    <t>Manut. Conta</t>
  </si>
  <si>
    <t>Manut. Crot</t>
  </si>
  <si>
    <t>Caixa Seguros</t>
  </si>
  <si>
    <t>Cartão de Crédito</t>
  </si>
  <si>
    <t>Seguro Residencial</t>
  </si>
  <si>
    <t>Deb. Cesta PJ</t>
  </si>
  <si>
    <t>Deb IOF</t>
  </si>
  <si>
    <t>Deb Juros</t>
  </si>
  <si>
    <t>Deb Avulso</t>
  </si>
  <si>
    <t>Lib talão</t>
  </si>
  <si>
    <t>Tar Excess</t>
  </si>
  <si>
    <t>Taxa Devol</t>
  </si>
  <si>
    <t xml:space="preserve">TR D CH </t>
  </si>
  <si>
    <t>T D Din Ag</t>
  </si>
  <si>
    <t>Tar Saq Ag</t>
  </si>
  <si>
    <t>Tar SQ ATM</t>
  </si>
  <si>
    <t>Tar Bco24H</t>
  </si>
  <si>
    <t>seguradora</t>
  </si>
  <si>
    <t>Tar Doc In</t>
  </si>
  <si>
    <t>Tar Ren Car</t>
  </si>
  <si>
    <t>Tarifa Pix</t>
  </si>
  <si>
    <t>Total</t>
  </si>
  <si>
    <t>TOTAL ANO</t>
  </si>
  <si>
    <t>Café para Equipe</t>
  </si>
  <si>
    <t>Documentação</t>
  </si>
  <si>
    <t>Manutenção dos Ar condicionados</t>
  </si>
  <si>
    <t>Manutenção da Telefonia</t>
  </si>
  <si>
    <t>EMPRÉSTIMOS</t>
  </si>
  <si>
    <t>Marcos Costa</t>
  </si>
  <si>
    <t>Carlos Freitas</t>
  </si>
  <si>
    <t>Monike Bobroski Nunes</t>
  </si>
  <si>
    <t>Salário</t>
  </si>
  <si>
    <t>Alimentação</t>
  </si>
  <si>
    <t>Transporte</t>
  </si>
  <si>
    <t>Variável</t>
  </si>
  <si>
    <t>Férias</t>
  </si>
  <si>
    <t>13º Salário</t>
  </si>
  <si>
    <t>Adiantamentos</t>
  </si>
  <si>
    <t>Gabrielle Andrade</t>
  </si>
  <si>
    <t>Multa/Descontos</t>
  </si>
  <si>
    <t>Pamela de Araujo Barroso</t>
  </si>
  <si>
    <t>Tamires Caroline Borges Bento Leal</t>
  </si>
  <si>
    <t>Comissão</t>
  </si>
  <si>
    <t>Edurado Mancan</t>
  </si>
  <si>
    <t>Vitor Hoffmann</t>
  </si>
  <si>
    <t>Josselaine Rodrigues de Souza</t>
  </si>
  <si>
    <t xml:space="preserve">Jordana de Jesus Souza da Silva  </t>
  </si>
  <si>
    <t>Pamela Paixão Santos</t>
  </si>
  <si>
    <t>Marcos Henrique Freitas Bilhar da Costa</t>
  </si>
  <si>
    <t>Daniel Rodrigues</t>
  </si>
  <si>
    <t>Bolsa</t>
  </si>
  <si>
    <t>Jair Konrad</t>
  </si>
  <si>
    <t>Ana Paula Nunes Silva</t>
  </si>
  <si>
    <t>Michele Ramos</t>
  </si>
  <si>
    <t>Rafael Rosa Ferreira</t>
  </si>
  <si>
    <t>Contratos</t>
  </si>
  <si>
    <t>Douglas Graeff</t>
  </si>
  <si>
    <t>Site e Redes Sociais</t>
  </si>
  <si>
    <t>Carlos Luiz Medeiros Rodrigues de Freitas</t>
  </si>
  <si>
    <t>Pro-Labore</t>
  </si>
  <si>
    <t>Tiago de Paula</t>
  </si>
  <si>
    <t xml:space="preserve">Pedro Bolanhese </t>
  </si>
  <si>
    <t>TOTAL DA FOLHA</t>
  </si>
  <si>
    <t>Transp Mês</t>
  </si>
  <si>
    <t>Alim Mês</t>
  </si>
  <si>
    <t>Salario</t>
  </si>
  <si>
    <t>Pamela</t>
  </si>
  <si>
    <t>Gabriele</t>
  </si>
  <si>
    <t>Consultora</t>
  </si>
  <si>
    <t>Marcos</t>
  </si>
  <si>
    <t>Estagiário</t>
  </si>
  <si>
    <t>FOLHA DE VENDAS</t>
  </si>
  <si>
    <t>FOLHA DE ALUGUEL</t>
  </si>
  <si>
    <t>FOLHA DA ADMINISTRAÇÃO</t>
  </si>
  <si>
    <t>Consultor 2</t>
  </si>
  <si>
    <t>Royalty 462786</t>
  </si>
  <si>
    <t>Royalty 750147</t>
  </si>
  <si>
    <t>Royalty 147120</t>
  </si>
  <si>
    <t>Royalty 876859</t>
  </si>
  <si>
    <t>Royalty 474600</t>
  </si>
  <si>
    <t>Royalty 448520</t>
  </si>
  <si>
    <t>Royalty 712267</t>
  </si>
  <si>
    <t>Royalty 760910</t>
  </si>
  <si>
    <t>Royalty 722551 Parte 1 de 2</t>
  </si>
  <si>
    <t>Royalty 722551 Parte 2 de 2</t>
  </si>
  <si>
    <t>Diferença da comissão Luci Bortolanza Contrato Doutor Possidonio Cunha 719 Casa 2</t>
  </si>
  <si>
    <t>Transferência para Goethe Imóveis Ltda.</t>
  </si>
  <si>
    <t>Transferência para GOETHE IMOVEIS LTDA (CPF/CNPJ 17194329000133)</t>
  </si>
  <si>
    <t>Antecipação de Comissão - Contrato 189591 - PRAIA DE BELAS, 1762, 106</t>
  </si>
  <si>
    <t>Antecipação de Comissão - Contrato 706713 - Gabriel Franco da Luz, 560, 505</t>
  </si>
  <si>
    <t>Antecipação de Comissão - Contrato 759002 - da Azenha, 1338, 31</t>
  </si>
  <si>
    <t>Antecipação de Comissão - Contrato 474600 - Engenheiro Ludolfo Boehl, 931, 13</t>
  </si>
  <si>
    <t>FGTS Atrasado</t>
  </si>
  <si>
    <t>INSS Atrasado</t>
  </si>
  <si>
    <t>Resultado</t>
  </si>
  <si>
    <t>SIMPLES NACIONAL</t>
  </si>
  <si>
    <t>Simples Nacional</t>
  </si>
  <si>
    <t>Resultado Limpo</t>
  </si>
  <si>
    <t>Valor do Rateio</t>
  </si>
  <si>
    <t>Despesas de janeiro/26 não pagas</t>
  </si>
  <si>
    <t>Fatruramento do mês</t>
  </si>
  <si>
    <t>Comissão Total</t>
  </si>
  <si>
    <t>VGV</t>
  </si>
  <si>
    <t>Rateio de Venda:</t>
  </si>
  <si>
    <t>Agenciamento Ag. Zona Norte - 768258</t>
  </si>
  <si>
    <t>Campanha Sucesso de Locação 2025 11</t>
  </si>
  <si>
    <t>NFSe - 425 - 526 2026 - Contrato 81136852 - RUA AZEVEDO SODRÉ 285 APTO 701  00-TORRE ÚNICA</t>
  </si>
  <si>
    <t xml:space="preserve">NFSe - 423 - 522 2026 - Contrato 81136198 - RUA FELIPE NERI 366 SALA 402 BOX 3 </t>
  </si>
  <si>
    <t xml:space="preserve">NFSe - 416 - 508 2026 - Contrato 81136595 - AVENIDA PADRE CACIQUE 2893 SALA 2112  </t>
  </si>
  <si>
    <t xml:space="preserve">NFSe - 424 - 524 2026 - Contrato 81135389 - RUA ANDRADAS, DOS 487 APTO 704  </t>
  </si>
  <si>
    <t>NFSe - 414 - 504 2026 - Contrato 81136640 - RUA DUQUE DE CAXIAS 955 APTO 602  01-A</t>
  </si>
  <si>
    <t xml:space="preserve">NFSe - 419 - 514 2026 - Contrato 81136667 - RUA URUGUAI 335 SALA 82  </t>
  </si>
  <si>
    <t xml:space="preserve">NFSe - 415 - 506 2026 - Contrato 81136714 - RUA COMENDADOR RHEINGANTZ 282 APTO 303  </t>
  </si>
  <si>
    <t xml:space="preserve">NFSe - 426 - 528 2026 - Contrato 81136624 - AVENIDA SENADOR DANIEL KRIEGER 224 CASA   </t>
  </si>
  <si>
    <t xml:space="preserve">NFSe - 417 - 510 2026 - Contrato 81136031 - RUA LUIZ AFONSO 307 APTO 1008  </t>
  </si>
  <si>
    <t>NFSe - 421 - 518 2026 - Contrato 81136777 - AV  AVENIDA PLÍNIO BRASIL MILANO 183 APTO 18  00-TORRE ÚNICA</t>
  </si>
  <si>
    <t>NFSe - 418 - 512 2026 - Contrato 81136800 - RUA SÃO MANOEL 1411 APTO 402 BOX 19 00-TORRE ÚNICA</t>
  </si>
  <si>
    <t>NFSe - 422 - 520 2026 - Contrato 81136794 - RUA FREI GERMANO 572 APTO 504  00-TORRE ÚNICA</t>
  </si>
  <si>
    <t>NFSe - 420 - 516 2026 - Contrato 81136846 - RUA AZEVEDO SODRÉ 285 APTO 808  00-TORRE ÚNICA</t>
  </si>
  <si>
    <t>Agenciadora Bruna Kaeline - Agenciamento 759847</t>
  </si>
  <si>
    <t>Campanha de Captação 2026 01</t>
  </si>
  <si>
    <t>Campanha Sucesso de Locação 2026 01</t>
  </si>
  <si>
    <t>Campanha de Locação 2026 01</t>
  </si>
  <si>
    <t>Contrato 401279 - JOAO PESSOA, 105, 501, Farroupilha, Porto Alegre - RS, CEP 90040-001</t>
  </si>
  <si>
    <t>Contrato 415673 - ALMIRANTE ABREU, 354, 801, Rio Branco, Porto Alegre / RS, CEP 90420010</t>
  </si>
  <si>
    <t>Contrato 448520 - Ferreira Viana, 885, 512, Petrópolis, Porto Alegre / RS, CEP 90670-100</t>
  </si>
  <si>
    <t>Contrato 474600 - Engenheiro Ludolfo Boehl, 931, 13, Teresópolis, Porto Alegre / RS, CEP 91720150</t>
  </si>
  <si>
    <t>Contrato 495832 - Dona Otília, 3804, 401, Santa Tereza, Porto Alegre / RS, CEP 90830580</t>
  </si>
  <si>
    <t>Contrato 748245 - Soledade, 371, 602, Petrópolis, Porto Alegre / RS, CEP 90470-340</t>
  </si>
  <si>
    <t>Contrato 759002 - da Azenha, 1338, 31, Azenha, Porto Alegre / RS, CEP 90160-003</t>
  </si>
  <si>
    <t>Contrato 759847 - Independência, 972, 607, Independência, Porto Alegre / RS, CEP 90035072</t>
  </si>
  <si>
    <t>Devolução de Antecipação de Comissão - 448520 - Ferreira Viana, 885, 512, Petrópolis, Porto Alegre / RS, CEP 90670-100</t>
  </si>
  <si>
    <t>Devolução de Antecipação de Comissão - 722551 - GENERAL JOAO TELLES, 68, 502, Bom Fim, Porto Alegre / RS, CEP 90035-120</t>
  </si>
  <si>
    <t>Devolução de Antecipação de Comissão - 750147 - Jari, 735, 909, Passo da Areia, Porto Alegre / RS, CEP 91350170</t>
  </si>
  <si>
    <t>Devolução de Antecipação de Comissão - 759847 - Independência, 972, 607, Independência, Porto Alegre / RS, CEP 90035072</t>
  </si>
  <si>
    <t>Royalty 415673</t>
  </si>
  <si>
    <t>Royalty 495832</t>
  </si>
  <si>
    <t>Royalty 748245</t>
  </si>
  <si>
    <t>Royalty 759002</t>
  </si>
  <si>
    <t>Royalty 759847</t>
  </si>
  <si>
    <t>Transferência para o Pipeimob ????????????????????????????</t>
  </si>
  <si>
    <t>AP Jardim do Lago</t>
  </si>
  <si>
    <t>Zeli Comissão Aluguel</t>
  </si>
  <si>
    <t>Richard Comissão Aluguel</t>
  </si>
  <si>
    <t>Contrato 454042 - CARLOS ESTEVAO, 273, 404, Jardim Leopoldina, Porto Alegre / RS, CEP 91240001</t>
  </si>
  <si>
    <t>Contrato 308794 - HIPOLITO DA COSTA, 211, 301, Santa Tereza, Porto Alegre / RS, CEP 90840-110</t>
  </si>
  <si>
    <t>Devolução de Antecipação de Comissão - Contrato 308794 - HIPOLITO DA COSTA, 211, 301, Santa Tereza, Porto Alegre / RS, CEP 90840-110</t>
  </si>
  <si>
    <t>Contrato 236686 - CT 12867 - Avenida Assis Brasil 1720 apto 401 - IMOVEL MKTPLACE</t>
  </si>
  <si>
    <t>Royalty 308794</t>
  </si>
  <si>
    <t>Royalty 236686</t>
  </si>
  <si>
    <t>Gustavo</t>
  </si>
  <si>
    <t xml:space="preserve">NFSe - 430 - 4 2026 - Contrato 81136406 - RUA MOSTARDEIRO 488 APTO 306  </t>
  </si>
  <si>
    <t xml:space="preserve">NFSe - 447 - 21 2026 - Contrato 81125564 - RUA PADRE TODESCO 927 APTO 802 BOX 83 </t>
  </si>
  <si>
    <t>NFSe - 442 - 16 2026 - Contrato 81131537 - RUA ÂNGELO CRIVELLARO 449 APTO 402  00-TORRE ÚNICA</t>
  </si>
  <si>
    <t xml:space="preserve">NFSe - 451 - 25 2026 - Contrato 81135389 - RUA ANDRADAS, DOS 487 APTO 704  </t>
  </si>
  <si>
    <t xml:space="preserve">NFSe - 448 - 22 2026 - Contrato 81136595 - AVENIDA PADRE CACIQUE 2893 SALA 2112  </t>
  </si>
  <si>
    <t>NFSe - 443 - 17 2026 - Contrato 81137104 - AVENIDA BORGES DE MEDEIROS 2277 APTO 1908 BOX 104 03-C</t>
  </si>
  <si>
    <t xml:space="preserve">NFSe - 433 - 7 2026 - Contrato 81136714 - RUA COMENDADOR RHEINGANTZ 282 APTO 303  </t>
  </si>
  <si>
    <t xml:space="preserve">NFSe - 453 - 27 2026 - Contrato 81131649 - AV  DOUTOR CARLOS BARBOSA 480 LJ   </t>
  </si>
  <si>
    <t xml:space="preserve">NFSe - 449 - 23 2026 - Contrato 81136260 - AV  IPIRANGA 40 SALA 1008 T.B </t>
  </si>
  <si>
    <t>NFSe - 435 - 9 e 438 - 12 - 2026 - Contrato 81137077 - RUA MOURA AZEVEDO 146 APTO 3  00-TORRE ÚNICA</t>
  </si>
  <si>
    <t xml:space="preserve">NFSe - 450 - 24 e 452 - 26 2026 - Contrato 81136181 - RUA IRMÃO NORBERTO FRANCISCO RAUCH 700 APTO 1621 BOX: 374 </t>
  </si>
  <si>
    <t>NFSe - 436 - 10 e 437 - 11 e 445 - 19 - 2026 - Contrato 81137039 - RUA DONA EUGÊNIA 1256 APTO 32  00-TORRE ÚNICA</t>
  </si>
  <si>
    <t xml:space="preserve">NFSe - 456 - 30 2026 - Contrato 81135583 - AVENIDA GETÚLIO VARGAS 298 APTO 32  </t>
  </si>
  <si>
    <t xml:space="preserve">NFSe - 454 - 28 e 455 - 29 - 2026 - Contrato 81136076 - RUA TENENTE-CORONEL RUA TENENTE-CORONEL FABRÍCIO PILAR 311 APTO 901  </t>
  </si>
  <si>
    <t>NFSe - 432 - 6 2026 - Contrato 81137055 - RUA AZEVEDO SODRÉ 285 APTO 708 BOX 35 00-TORRE ÚNICA</t>
  </si>
  <si>
    <t xml:space="preserve">NFSe - 446 - 20 2026 - Contrato 81136406 - RUA MOSTARDEIRO 488 APTO 306  </t>
  </si>
  <si>
    <t>NFSe - 444 - 18 2026 - Contrato 81137003 - AVENIDA BORGES DE MEDEIROS 2277 APTO 505 BOX 172 03-C</t>
  </si>
  <si>
    <t xml:space="preserve">NFSe - 439 - 13 2026 - Contrato 81136809 - AV  IPIRANGA 40 SALA 1006 C/BOX </t>
  </si>
  <si>
    <t xml:space="preserve">NFSe - 457 - 31 2026 - Contrato 81128234 - RUA ATANÁSIO BELMONTE 51 APTO 208 BOX 27 </t>
  </si>
  <si>
    <t>NFSe - 458 - 32 e 440 - 14 e 441 - 15 - 2026 - Contrato 81137366 - RUA PROFESSOR CRISTIANO FISCHER 818 APTO 506 BOX 31 00-TORRE ÚNICA</t>
  </si>
  <si>
    <t>Crédito não identificado ???????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</si>
</sst>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[$-416]d\-mmm;@"/>
    <numFmt numFmtId="166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name val="Calibri"/>
      <family val="2"/>
      <scheme val="minor"/>
    </font>
    <font>
      <sz val="11"/>
      <color theme="3" tint="-0.249977111117893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7" fontId="3" fillId="2" borderId="1" xfId="0" applyNumberFormat="1" applyFont="1" applyFill="1" applyBorder="1" applyAlignment="1">
      <alignment horizontal="center" vertical="center"/>
    </xf>
    <xf numFmtId="4" fontId="3" fillId="3" borderId="2" xfId="0" applyNumberFormat="1" applyFont="1" applyFill="1" applyBorder="1"/>
    <xf numFmtId="4" fontId="4" fillId="2" borderId="0" xfId="0" applyNumberFormat="1" applyFont="1" applyFill="1"/>
    <xf numFmtId="4" fontId="4" fillId="8" borderId="0" xfId="0" applyNumberFormat="1" applyFont="1" applyFill="1"/>
    <xf numFmtId="4" fontId="4" fillId="0" borderId="0" xfId="0" applyNumberFormat="1" applyFont="1"/>
    <xf numFmtId="4" fontId="4" fillId="4" borderId="0" xfId="0" applyNumberFormat="1" applyFont="1" applyFill="1"/>
    <xf numFmtId="4" fontId="4" fillId="5" borderId="0" xfId="0" applyNumberFormat="1" applyFont="1" applyFill="1"/>
    <xf numFmtId="4" fontId="4" fillId="6" borderId="0" xfId="0" applyNumberFormat="1" applyFont="1" applyFill="1"/>
    <xf numFmtId="4" fontId="4" fillId="9" borderId="0" xfId="0" applyNumberFormat="1" applyFont="1" applyFill="1"/>
    <xf numFmtId="4" fontId="3" fillId="4" borderId="4" xfId="0" applyNumberFormat="1" applyFont="1" applyFill="1" applyBorder="1" applyAlignment="1">
      <alignment vertical="top"/>
    </xf>
    <xf numFmtId="4" fontId="3" fillId="5" borderId="4" xfId="0" applyNumberFormat="1" applyFont="1" applyFill="1" applyBorder="1" applyAlignment="1">
      <alignment vertical="top"/>
    </xf>
    <xf numFmtId="4" fontId="3" fillId="6" borderId="4" xfId="0" applyNumberFormat="1" applyFont="1" applyFill="1" applyBorder="1" applyAlignment="1">
      <alignment vertical="top"/>
    </xf>
    <xf numFmtId="4" fontId="3" fillId="11" borderId="2" xfId="0" applyNumberFormat="1" applyFont="1" applyFill="1" applyBorder="1"/>
    <xf numFmtId="4" fontId="4" fillId="11" borderId="0" xfId="0" applyNumberFormat="1" applyFont="1" applyFill="1" applyAlignment="1">
      <alignment vertical="top"/>
    </xf>
    <xf numFmtId="4" fontId="3" fillId="11" borderId="4" xfId="0" applyNumberFormat="1" applyFont="1" applyFill="1" applyBorder="1" applyAlignment="1">
      <alignment vertical="top"/>
    </xf>
    <xf numFmtId="0" fontId="4" fillId="12" borderId="6" xfId="0" applyFont="1" applyFill="1" applyBorder="1"/>
    <xf numFmtId="4" fontId="0" fillId="12" borderId="0" xfId="0" applyNumberFormat="1" applyFill="1"/>
    <xf numFmtId="0" fontId="2" fillId="12" borderId="0" xfId="0" applyFont="1" applyFill="1"/>
    <xf numFmtId="0" fontId="4" fillId="12" borderId="7" xfId="0" applyFont="1" applyFill="1" applyBorder="1" applyAlignment="1">
      <alignment vertical="top"/>
    </xf>
    <xf numFmtId="4" fontId="3" fillId="13" borderId="8" xfId="0" applyNumberFormat="1" applyFont="1" applyFill="1" applyBorder="1"/>
    <xf numFmtId="4" fontId="4" fillId="2" borderId="1" xfId="0" applyNumberFormat="1" applyFont="1" applyFill="1" applyBorder="1" applyAlignment="1">
      <alignment vertical="top"/>
    </xf>
    <xf numFmtId="4" fontId="4" fillId="2" borderId="0" xfId="0" applyNumberFormat="1" applyFont="1" applyFill="1" applyAlignment="1">
      <alignment vertical="top"/>
    </xf>
    <xf numFmtId="4" fontId="3" fillId="3" borderId="0" xfId="0" applyNumberFormat="1" applyFont="1" applyFill="1"/>
    <xf numFmtId="4" fontId="4" fillId="15" borderId="1" xfId="0" applyNumberFormat="1" applyFont="1" applyFill="1" applyBorder="1"/>
    <xf numFmtId="0" fontId="4" fillId="8" borderId="1" xfId="0" applyFont="1" applyFill="1" applyBorder="1"/>
    <xf numFmtId="0" fontId="4" fillId="8" borderId="0" xfId="0" applyFont="1" applyFill="1"/>
    <xf numFmtId="4" fontId="4" fillId="16" borderId="1" xfId="0" applyNumberFormat="1" applyFont="1" applyFill="1" applyBorder="1"/>
    <xf numFmtId="0" fontId="4" fillId="0" borderId="0" xfId="0" applyFont="1"/>
    <xf numFmtId="0" fontId="3" fillId="0" borderId="0" xfId="0" applyFont="1"/>
    <xf numFmtId="0" fontId="3" fillId="2" borderId="0" xfId="0" applyFont="1" applyFill="1" applyAlignment="1">
      <alignment horizontal="center" vertical="center"/>
    </xf>
    <xf numFmtId="0" fontId="3" fillId="11" borderId="6" xfId="0" applyFont="1" applyFill="1" applyBorder="1"/>
    <xf numFmtId="0" fontId="4" fillId="11" borderId="6" xfId="0" applyFont="1" applyFill="1" applyBorder="1"/>
    <xf numFmtId="0" fontId="3" fillId="11" borderId="13" xfId="0" applyFont="1" applyFill="1" applyBorder="1" applyAlignment="1">
      <alignment vertical="top"/>
    </xf>
    <xf numFmtId="0" fontId="4" fillId="11" borderId="2" xfId="0" applyFont="1" applyFill="1" applyBorder="1"/>
    <xf numFmtId="0" fontId="4" fillId="11" borderId="5" xfId="0" applyFont="1" applyFill="1" applyBorder="1"/>
    <xf numFmtId="0" fontId="4" fillId="12" borderId="2" xfId="0" applyFont="1" applyFill="1" applyBorder="1"/>
    <xf numFmtId="0" fontId="3" fillId="3" borderId="11" xfId="0" applyFont="1" applyFill="1" applyBorder="1"/>
    <xf numFmtId="0" fontId="3" fillId="14" borderId="11" xfId="0" applyFont="1" applyFill="1" applyBorder="1"/>
    <xf numFmtId="0" fontId="4" fillId="14" borderId="11" xfId="0" applyFont="1" applyFill="1" applyBorder="1"/>
    <xf numFmtId="0" fontId="4" fillId="15" borderId="7" xfId="0" applyFont="1" applyFill="1" applyBorder="1"/>
    <xf numFmtId="17" fontId="3" fillId="2" borderId="14" xfId="0" applyNumberFormat="1" applyFont="1" applyFill="1" applyBorder="1" applyAlignment="1">
      <alignment horizontal="center" vertical="center"/>
    </xf>
    <xf numFmtId="17" fontId="3" fillId="2" borderId="15" xfId="0" applyNumberFormat="1" applyFont="1" applyFill="1" applyBorder="1" applyAlignment="1">
      <alignment horizontal="center" vertical="center"/>
    </xf>
    <xf numFmtId="17" fontId="3" fillId="2" borderId="16" xfId="0" applyNumberFormat="1" applyFont="1" applyFill="1" applyBorder="1" applyAlignment="1">
      <alignment horizontal="center" vertical="center"/>
    </xf>
    <xf numFmtId="4" fontId="4" fillId="2" borderId="9" xfId="0" applyNumberFormat="1" applyFont="1" applyFill="1" applyBorder="1"/>
    <xf numFmtId="4" fontId="4" fillId="2" borderId="18" xfId="0" applyNumberFormat="1" applyFont="1" applyFill="1" applyBorder="1"/>
    <xf numFmtId="4" fontId="4" fillId="0" borderId="9" xfId="0" applyNumberFormat="1" applyFont="1" applyBorder="1"/>
    <xf numFmtId="4" fontId="4" fillId="0" borderId="18" xfId="0" applyNumberFormat="1" applyFont="1" applyBorder="1"/>
    <xf numFmtId="4" fontId="3" fillId="11" borderId="6" xfId="0" applyNumberFormat="1" applyFont="1" applyFill="1" applyBorder="1"/>
    <xf numFmtId="4" fontId="3" fillId="11" borderId="17" xfId="0" applyNumberFormat="1" applyFont="1" applyFill="1" applyBorder="1"/>
    <xf numFmtId="4" fontId="4" fillId="8" borderId="9" xfId="0" applyNumberFormat="1" applyFont="1" applyFill="1" applyBorder="1"/>
    <xf numFmtId="4" fontId="4" fillId="8" borderId="18" xfId="0" applyNumberFormat="1" applyFont="1" applyFill="1" applyBorder="1"/>
    <xf numFmtId="4" fontId="4" fillId="11" borderId="9" xfId="0" applyNumberFormat="1" applyFont="1" applyFill="1" applyBorder="1" applyAlignment="1">
      <alignment vertical="top"/>
    </xf>
    <xf numFmtId="4" fontId="4" fillId="11" borderId="18" xfId="0" applyNumberFormat="1" applyFont="1" applyFill="1" applyBorder="1" applyAlignment="1">
      <alignment vertical="top"/>
    </xf>
    <xf numFmtId="4" fontId="3" fillId="11" borderId="13" xfId="0" applyNumberFormat="1" applyFont="1" applyFill="1" applyBorder="1" applyAlignment="1">
      <alignment vertical="top"/>
    </xf>
    <xf numFmtId="4" fontId="3" fillId="11" borderId="21" xfId="0" applyNumberFormat="1" applyFont="1" applyFill="1" applyBorder="1" applyAlignment="1">
      <alignment vertical="top"/>
    </xf>
    <xf numFmtId="4" fontId="4" fillId="2" borderId="7" xfId="0" applyNumberFormat="1" applyFont="1" applyFill="1" applyBorder="1" applyAlignment="1">
      <alignment vertical="top"/>
    </xf>
    <xf numFmtId="4" fontId="4" fillId="2" borderId="20" xfId="0" applyNumberFormat="1" applyFont="1" applyFill="1" applyBorder="1" applyAlignment="1">
      <alignment vertical="top"/>
    </xf>
    <xf numFmtId="4" fontId="4" fillId="2" borderId="9" xfId="0" applyNumberFormat="1" applyFont="1" applyFill="1" applyBorder="1" applyAlignment="1">
      <alignment vertical="top"/>
    </xf>
    <xf numFmtId="4" fontId="4" fillId="2" borderId="18" xfId="0" applyNumberFormat="1" applyFont="1" applyFill="1" applyBorder="1" applyAlignment="1">
      <alignment vertical="top"/>
    </xf>
    <xf numFmtId="4" fontId="3" fillId="3" borderId="9" xfId="0" applyNumberFormat="1" applyFont="1" applyFill="1" applyBorder="1"/>
    <xf numFmtId="4" fontId="3" fillId="3" borderId="18" xfId="0" applyNumberFormat="1" applyFont="1" applyFill="1" applyBorder="1"/>
    <xf numFmtId="4" fontId="4" fillId="14" borderId="9" xfId="0" applyNumberFormat="1" applyFont="1" applyFill="1" applyBorder="1"/>
    <xf numFmtId="4" fontId="4" fillId="14" borderId="18" xfId="0" applyNumberFormat="1" applyFont="1" applyFill="1" applyBorder="1"/>
    <xf numFmtId="4" fontId="3" fillId="14" borderId="9" xfId="0" applyNumberFormat="1" applyFont="1" applyFill="1" applyBorder="1"/>
    <xf numFmtId="4" fontId="3" fillId="14" borderId="18" xfId="0" applyNumberFormat="1" applyFont="1" applyFill="1" applyBorder="1"/>
    <xf numFmtId="0" fontId="4" fillId="8" borderId="7" xfId="0" applyFont="1" applyFill="1" applyBorder="1"/>
    <xf numFmtId="0" fontId="4" fillId="8" borderId="20" xfId="0" applyFont="1" applyFill="1" applyBorder="1"/>
    <xf numFmtId="4" fontId="4" fillId="16" borderId="7" xfId="0" applyNumberFormat="1" applyFont="1" applyFill="1" applyBorder="1"/>
    <xf numFmtId="4" fontId="4" fillId="16" borderId="20" xfId="0" applyNumberFormat="1" applyFont="1" applyFill="1" applyBorder="1"/>
    <xf numFmtId="0" fontId="4" fillId="7" borderId="23" xfId="0" applyFont="1" applyFill="1" applyBorder="1"/>
    <xf numFmtId="4" fontId="4" fillId="17" borderId="0" xfId="0" applyNumberFormat="1" applyFont="1" applyFill="1"/>
    <xf numFmtId="4" fontId="4" fillId="17" borderId="18" xfId="0" applyNumberFormat="1" applyFont="1" applyFill="1" applyBorder="1"/>
    <xf numFmtId="17" fontId="3" fillId="0" borderId="1" xfId="0" applyNumberFormat="1" applyFont="1" applyBorder="1"/>
    <xf numFmtId="0" fontId="3" fillId="18" borderId="1" xfId="0" applyFont="1" applyFill="1" applyBorder="1"/>
    <xf numFmtId="43" fontId="3" fillId="18" borderId="1" xfId="1" applyFont="1" applyFill="1" applyBorder="1"/>
    <xf numFmtId="43" fontId="4" fillId="0" borderId="0" xfId="1" applyFont="1"/>
    <xf numFmtId="43" fontId="3" fillId="0" borderId="0" xfId="1" applyFont="1"/>
    <xf numFmtId="43" fontId="4" fillId="0" borderId="0" xfId="1" applyFont="1" applyFill="1"/>
    <xf numFmtId="0" fontId="4" fillId="0" borderId="1" xfId="0" applyFont="1" applyBorder="1"/>
    <xf numFmtId="43" fontId="4" fillId="0" borderId="1" xfId="1" applyFont="1" applyBorder="1"/>
    <xf numFmtId="0" fontId="3" fillId="10" borderId="1" xfId="0" applyFont="1" applyFill="1" applyBorder="1"/>
    <xf numFmtId="0" fontId="4" fillId="15" borderId="1" xfId="0" applyFont="1" applyFill="1" applyBorder="1"/>
    <xf numFmtId="43" fontId="4" fillId="6" borderId="0" xfId="1" applyFont="1" applyFill="1"/>
    <xf numFmtId="4" fontId="3" fillId="3" borderId="9" xfId="0" applyNumberFormat="1" applyFont="1" applyFill="1" applyBorder="1" applyAlignment="1">
      <alignment vertical="top"/>
    </xf>
    <xf numFmtId="4" fontId="3" fillId="3" borderId="0" xfId="0" applyNumberFormat="1" applyFont="1" applyFill="1" applyAlignment="1">
      <alignment vertical="top"/>
    </xf>
    <xf numFmtId="4" fontId="3" fillId="3" borderId="18" xfId="0" applyNumberFormat="1" applyFont="1" applyFill="1" applyBorder="1" applyAlignment="1">
      <alignment vertical="top"/>
    </xf>
    <xf numFmtId="164" fontId="4" fillId="0" borderId="0" xfId="2" applyNumberFormat="1" applyFont="1"/>
    <xf numFmtId="0" fontId="4" fillId="2" borderId="26" xfId="0" applyFont="1" applyFill="1" applyBorder="1" applyAlignment="1">
      <alignment vertical="top"/>
    </xf>
    <xf numFmtId="4" fontId="4" fillId="2" borderId="14" xfId="0" applyNumberFormat="1" applyFont="1" applyFill="1" applyBorder="1"/>
    <xf numFmtId="4" fontId="4" fillId="2" borderId="15" xfId="0" applyNumberFormat="1" applyFont="1" applyFill="1" applyBorder="1"/>
    <xf numFmtId="4" fontId="4" fillId="2" borderId="16" xfId="0" applyNumberFormat="1" applyFont="1" applyFill="1" applyBorder="1"/>
    <xf numFmtId="0" fontId="3" fillId="3" borderId="10" xfId="0" applyFont="1" applyFill="1" applyBorder="1" applyAlignment="1">
      <alignment vertical="top"/>
    </xf>
    <xf numFmtId="4" fontId="3" fillId="3" borderId="27" xfId="0" applyNumberFormat="1" applyFont="1" applyFill="1" applyBorder="1" applyAlignment="1">
      <alignment vertical="top"/>
    </xf>
    <xf numFmtId="4" fontId="3" fillId="3" borderId="28" xfId="0" applyNumberFormat="1" applyFont="1" applyFill="1" applyBorder="1" applyAlignment="1">
      <alignment vertical="top"/>
    </xf>
    <xf numFmtId="4" fontId="3" fillId="3" borderId="29" xfId="0" applyNumberFormat="1" applyFont="1" applyFill="1" applyBorder="1" applyAlignment="1">
      <alignment vertical="top"/>
    </xf>
    <xf numFmtId="4" fontId="3" fillId="11" borderId="14" xfId="0" applyNumberFormat="1" applyFont="1" applyFill="1" applyBorder="1"/>
    <xf numFmtId="4" fontId="3" fillId="11" borderId="15" xfId="0" applyNumberFormat="1" applyFont="1" applyFill="1" applyBorder="1"/>
    <xf numFmtId="4" fontId="3" fillId="11" borderId="16" xfId="0" applyNumberFormat="1" applyFont="1" applyFill="1" applyBorder="1"/>
    <xf numFmtId="4" fontId="3" fillId="11" borderId="0" xfId="0" applyNumberFormat="1" applyFont="1" applyFill="1" applyAlignment="1">
      <alignment vertical="top"/>
    </xf>
    <xf numFmtId="4" fontId="4" fillId="17" borderId="9" xfId="0" applyNumberFormat="1" applyFont="1" applyFill="1" applyBorder="1"/>
    <xf numFmtId="0" fontId="3" fillId="11" borderId="25" xfId="0" applyFont="1" applyFill="1" applyBorder="1"/>
    <xf numFmtId="0" fontId="4" fillId="11" borderId="24" xfId="0" applyFont="1" applyFill="1" applyBorder="1"/>
    <xf numFmtId="0" fontId="4" fillId="11" borderId="23" xfId="0" applyFont="1" applyFill="1" applyBorder="1"/>
    <xf numFmtId="0" fontId="3" fillId="11" borderId="30" xfId="0" applyFont="1" applyFill="1" applyBorder="1" applyAlignment="1">
      <alignment vertical="top"/>
    </xf>
    <xf numFmtId="4" fontId="3" fillId="11" borderId="18" xfId="0" applyNumberFormat="1" applyFont="1" applyFill="1" applyBorder="1" applyAlignment="1">
      <alignment vertical="top"/>
    </xf>
    <xf numFmtId="4" fontId="3" fillId="11" borderId="9" xfId="0" applyNumberFormat="1" applyFont="1" applyFill="1" applyBorder="1" applyAlignment="1">
      <alignment vertical="top"/>
    </xf>
    <xf numFmtId="4" fontId="3" fillId="13" borderId="14" xfId="0" applyNumberFormat="1" applyFont="1" applyFill="1" applyBorder="1"/>
    <xf numFmtId="4" fontId="3" fillId="13" borderId="15" xfId="0" applyNumberFormat="1" applyFont="1" applyFill="1" applyBorder="1"/>
    <xf numFmtId="4" fontId="3" fillId="13" borderId="16" xfId="0" applyNumberFormat="1" applyFont="1" applyFill="1" applyBorder="1"/>
    <xf numFmtId="0" fontId="3" fillId="2" borderId="31" xfId="0" applyFont="1" applyFill="1" applyBorder="1" applyAlignment="1">
      <alignment horizontal="center" vertical="center"/>
    </xf>
    <xf numFmtId="0" fontId="3" fillId="3" borderId="23" xfId="0" applyFont="1" applyFill="1" applyBorder="1"/>
    <xf numFmtId="0" fontId="3" fillId="2" borderId="24" xfId="0" applyFont="1" applyFill="1" applyBorder="1"/>
    <xf numFmtId="0" fontId="4" fillId="2" borderId="32" xfId="0" applyFont="1" applyFill="1" applyBorder="1" applyAlignment="1">
      <alignment vertical="top"/>
    </xf>
    <xf numFmtId="0" fontId="3" fillId="11" borderId="24" xfId="0" applyFont="1" applyFill="1" applyBorder="1"/>
    <xf numFmtId="0" fontId="3" fillId="13" borderId="24" xfId="0" applyFont="1" applyFill="1" applyBorder="1"/>
    <xf numFmtId="0" fontId="4" fillId="7" borderId="24" xfId="0" applyFont="1" applyFill="1" applyBorder="1"/>
    <xf numFmtId="0" fontId="3" fillId="2" borderId="32" xfId="0" applyFont="1" applyFill="1" applyBorder="1"/>
    <xf numFmtId="0" fontId="3" fillId="3" borderId="30" xfId="0" applyFont="1" applyFill="1" applyBorder="1" applyAlignment="1">
      <alignment vertical="top"/>
    </xf>
    <xf numFmtId="0" fontId="4" fillId="8" borderId="26" xfId="0" applyFont="1" applyFill="1" applyBorder="1"/>
    <xf numFmtId="0" fontId="3" fillId="16" borderId="32" xfId="0" applyFont="1" applyFill="1" applyBorder="1"/>
    <xf numFmtId="0" fontId="4" fillId="8" borderId="23" xfId="0" applyFont="1" applyFill="1" applyBorder="1"/>
    <xf numFmtId="0" fontId="4" fillId="16" borderId="26" xfId="0" applyFont="1" applyFill="1" applyBorder="1"/>
    <xf numFmtId="0" fontId="4" fillId="8" borderId="32" xfId="0" applyFont="1" applyFill="1" applyBorder="1"/>
    <xf numFmtId="0" fontId="4" fillId="14" borderId="6" xfId="0" applyFont="1" applyFill="1" applyBorder="1"/>
    <xf numFmtId="0" fontId="4" fillId="14" borderId="9" xfId="0" applyFont="1" applyFill="1" applyBorder="1"/>
    <xf numFmtId="4" fontId="3" fillId="3" borderId="14" xfId="0" applyNumberFormat="1" applyFont="1" applyFill="1" applyBorder="1"/>
    <xf numFmtId="4" fontId="3" fillId="3" borderId="15" xfId="0" applyNumberFormat="1" applyFont="1" applyFill="1" applyBorder="1"/>
    <xf numFmtId="4" fontId="3" fillId="3" borderId="16" xfId="0" applyNumberFormat="1" applyFont="1" applyFill="1" applyBorder="1"/>
    <xf numFmtId="4" fontId="4" fillId="12" borderId="7" xfId="0" applyNumberFormat="1" applyFont="1" applyFill="1" applyBorder="1" applyAlignment="1">
      <alignment vertical="top"/>
    </xf>
    <xf numFmtId="4" fontId="4" fillId="12" borderId="1" xfId="0" applyNumberFormat="1" applyFont="1" applyFill="1" applyBorder="1" applyAlignment="1">
      <alignment vertical="top"/>
    </xf>
    <xf numFmtId="4" fontId="4" fillId="12" borderId="20" xfId="0" applyNumberFormat="1" applyFont="1" applyFill="1" applyBorder="1" applyAlignment="1">
      <alignment vertical="top"/>
    </xf>
    <xf numFmtId="4" fontId="4" fillId="0" borderId="8" xfId="0" applyNumberFormat="1" applyFont="1" applyBorder="1"/>
    <xf numFmtId="4" fontId="0" fillId="12" borderId="14" xfId="0" applyNumberFormat="1" applyFill="1" applyBorder="1"/>
    <xf numFmtId="4" fontId="0" fillId="12" borderId="15" xfId="0" applyNumberFormat="1" applyFill="1" applyBorder="1"/>
    <xf numFmtId="4" fontId="0" fillId="12" borderId="16" xfId="0" applyNumberFormat="1" applyFill="1" applyBorder="1"/>
    <xf numFmtId="4" fontId="4" fillId="0" borderId="11" xfId="0" applyNumberFormat="1" applyFont="1" applyBorder="1"/>
    <xf numFmtId="4" fontId="4" fillId="0" borderId="22" xfId="0" applyNumberFormat="1" applyFont="1" applyBorder="1"/>
    <xf numFmtId="0" fontId="3" fillId="0" borderId="0" xfId="0" applyFont="1" applyAlignment="1">
      <alignment horizontal="center" vertical="center"/>
    </xf>
    <xf numFmtId="4" fontId="3" fillId="0" borderId="0" xfId="0" applyNumberFormat="1" applyFont="1"/>
    <xf numFmtId="4" fontId="3" fillId="0" borderId="0" xfId="0" applyNumberFormat="1" applyFont="1" applyAlignment="1">
      <alignment vertical="top"/>
    </xf>
    <xf numFmtId="4" fontId="0" fillId="0" borderId="0" xfId="0" applyNumberFormat="1"/>
    <xf numFmtId="4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" fontId="4" fillId="0" borderId="0" xfId="0" applyNumberFormat="1" applyFont="1" applyAlignment="1">
      <alignment vertical="top"/>
    </xf>
    <xf numFmtId="4" fontId="4" fillId="16" borderId="14" xfId="0" applyNumberFormat="1" applyFont="1" applyFill="1" applyBorder="1"/>
    <xf numFmtId="4" fontId="4" fillId="16" borderId="15" xfId="0" applyNumberFormat="1" applyFont="1" applyFill="1" applyBorder="1"/>
    <xf numFmtId="4" fontId="4" fillId="16" borderId="16" xfId="0" applyNumberFormat="1" applyFont="1" applyFill="1" applyBorder="1"/>
    <xf numFmtId="4" fontId="4" fillId="8" borderId="14" xfId="0" applyNumberFormat="1" applyFont="1" applyFill="1" applyBorder="1"/>
    <xf numFmtId="4" fontId="4" fillId="8" borderId="15" xfId="0" applyNumberFormat="1" applyFont="1" applyFill="1" applyBorder="1"/>
    <xf numFmtId="4" fontId="4" fillId="8" borderId="16" xfId="0" applyNumberFormat="1" applyFont="1" applyFill="1" applyBorder="1"/>
    <xf numFmtId="0" fontId="4" fillId="8" borderId="31" xfId="0" applyFont="1" applyFill="1" applyBorder="1"/>
    <xf numFmtId="0" fontId="4" fillId="0" borderId="23" xfId="0" applyFont="1" applyBorder="1"/>
    <xf numFmtId="0" fontId="4" fillId="0" borderId="26" xfId="0" applyFont="1" applyBorder="1" applyAlignment="1">
      <alignment vertical="top"/>
    </xf>
    <xf numFmtId="0" fontId="3" fillId="0" borderId="25" xfId="0" applyFont="1" applyBorder="1"/>
    <xf numFmtId="0" fontId="3" fillId="0" borderId="24" xfId="0" applyFont="1" applyBorder="1"/>
    <xf numFmtId="43" fontId="4" fillId="0" borderId="0" xfId="1" applyFont="1" applyBorder="1"/>
    <xf numFmtId="43" fontId="4" fillId="6" borderId="3" xfId="1" applyFont="1" applyFill="1" applyBorder="1"/>
    <xf numFmtId="43" fontId="4" fillId="6" borderId="19" xfId="1" applyFont="1" applyFill="1" applyBorder="1"/>
    <xf numFmtId="43" fontId="3" fillId="6" borderId="3" xfId="1" applyFont="1" applyFill="1" applyBorder="1"/>
    <xf numFmtId="0" fontId="4" fillId="18" borderId="3" xfId="0" applyFont="1" applyFill="1" applyBorder="1"/>
    <xf numFmtId="0" fontId="4" fillId="18" borderId="19" xfId="0" applyFont="1" applyFill="1" applyBorder="1"/>
    <xf numFmtId="4" fontId="4" fillId="14" borderId="0" xfId="0" applyNumberFormat="1" applyFont="1" applyFill="1"/>
    <xf numFmtId="4" fontId="3" fillId="14" borderId="0" xfId="0" applyNumberFormat="1" applyFont="1" applyFill="1"/>
    <xf numFmtId="4" fontId="4" fillId="15" borderId="7" xfId="0" applyNumberFormat="1" applyFont="1" applyFill="1" applyBorder="1"/>
    <xf numFmtId="4" fontId="4" fillId="15" borderId="20" xfId="0" applyNumberFormat="1" applyFont="1" applyFill="1" applyBorder="1"/>
    <xf numFmtId="0" fontId="3" fillId="0" borderId="1" xfId="0" applyFont="1" applyBorder="1" applyAlignment="1">
      <alignment wrapText="1"/>
    </xf>
    <xf numFmtId="0" fontId="3" fillId="18" borderId="1" xfId="0" applyFont="1" applyFill="1" applyBorder="1" applyAlignment="1">
      <alignment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18" borderId="12" xfId="0" applyFont="1" applyFill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3" fillId="10" borderId="1" xfId="0" applyFont="1" applyFill="1" applyBorder="1" applyAlignment="1">
      <alignment wrapText="1"/>
    </xf>
    <xf numFmtId="0" fontId="4" fillId="15" borderId="1" xfId="0" applyFont="1" applyFill="1" applyBorder="1" applyAlignment="1">
      <alignment wrapText="1"/>
    </xf>
    <xf numFmtId="0" fontId="3" fillId="6" borderId="12" xfId="0" applyFont="1" applyFill="1" applyBorder="1" applyAlignment="1">
      <alignment wrapText="1"/>
    </xf>
    <xf numFmtId="0" fontId="4" fillId="6" borderId="0" xfId="0" applyFont="1" applyFill="1" applyAlignment="1">
      <alignment wrapText="1"/>
    </xf>
    <xf numFmtId="0" fontId="3" fillId="6" borderId="0" xfId="0" applyFont="1" applyFill="1" applyAlignment="1">
      <alignment wrapText="1"/>
    </xf>
    <xf numFmtId="165" fontId="0" fillId="0" borderId="0" xfId="0" applyNumberFormat="1" applyAlignment="1">
      <alignment horizontal="center"/>
    </xf>
    <xf numFmtId="43" fontId="0" fillId="0" borderId="0" xfId="1" applyFont="1"/>
    <xf numFmtId="0" fontId="2" fillId="0" borderId="0" xfId="0" applyFont="1"/>
    <xf numFmtId="43" fontId="2" fillId="0" borderId="0" xfId="1" applyFont="1"/>
    <xf numFmtId="43" fontId="0" fillId="0" borderId="0" xfId="1" applyFont="1" applyFill="1"/>
    <xf numFmtId="2" fontId="0" fillId="0" borderId="0" xfId="0" applyNumberFormat="1"/>
    <xf numFmtId="2" fontId="8" fillId="0" borderId="0" xfId="0" applyNumberFormat="1" applyFont="1"/>
    <xf numFmtId="43" fontId="2" fillId="0" borderId="0" xfId="1" applyFont="1" applyFill="1"/>
    <xf numFmtId="43" fontId="2" fillId="0" borderId="0" xfId="0" applyNumberFormat="1" applyFont="1"/>
    <xf numFmtId="43" fontId="0" fillId="0" borderId="0" xfId="0" applyNumberFormat="1"/>
    <xf numFmtId="43" fontId="4" fillId="8" borderId="9" xfId="1" applyFont="1" applyFill="1" applyBorder="1"/>
    <xf numFmtId="43" fontId="4" fillId="8" borderId="0" xfId="1" applyFont="1" applyFill="1" applyBorder="1"/>
    <xf numFmtId="43" fontId="4" fillId="8" borderId="18" xfId="1" applyFont="1" applyFill="1" applyBorder="1"/>
    <xf numFmtId="17" fontId="7" fillId="5" borderId="33" xfId="0" applyNumberFormat="1" applyFont="1" applyFill="1" applyBorder="1"/>
    <xf numFmtId="9" fontId="0" fillId="0" borderId="0" xfId="0" applyNumberFormat="1"/>
    <xf numFmtId="43" fontId="3" fillId="8" borderId="9" xfId="1" applyFont="1" applyFill="1" applyBorder="1"/>
    <xf numFmtId="43" fontId="4" fillId="8" borderId="0" xfId="1" applyFont="1" applyFill="1"/>
    <xf numFmtId="9" fontId="4" fillId="0" borderId="0" xfId="1" applyNumberFormat="1" applyFont="1"/>
    <xf numFmtId="43" fontId="4" fillId="0" borderId="34" xfId="1" applyFont="1" applyBorder="1"/>
    <xf numFmtId="0" fontId="3" fillId="2" borderId="1" xfId="0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left" vertical="center"/>
    </xf>
    <xf numFmtId="0" fontId="4" fillId="10" borderId="0" xfId="0" applyFont="1" applyFill="1" applyAlignment="1">
      <alignment wrapText="1"/>
    </xf>
    <xf numFmtId="17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espesas%20Moinho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pesas"/>
      <sheetName val="Tarifas Bancárias"/>
      <sheetName val="Folha"/>
      <sheetName val="Distribuição"/>
      <sheetName val="Cronograma"/>
    </sheetNames>
    <sheetDataSet>
      <sheetData sheetId="0"/>
      <sheetData sheetId="1">
        <row r="36">
          <cell r="Y36">
            <v>502.73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8"/>
  <sheetViews>
    <sheetView zoomScale="90" zoomScaleNormal="90" workbookViewId="0">
      <pane xSplit="2" ySplit="1" topLeftCell="D19" activePane="bottomRight" state="frozen"/>
      <selection pane="topRight" activeCell="C1" sqref="C1"/>
      <selection pane="bottomLeft" activeCell="A4" sqref="A4"/>
      <selection pane="bottomRight" activeCell="E44" sqref="E44"/>
    </sheetView>
  </sheetViews>
  <sheetFormatPr defaultRowHeight="15" x14ac:dyDescent="0.25"/>
  <cols>
    <col min="1" max="1" width="9.140625" style="182"/>
    <col min="2" max="2" width="30.140625" customWidth="1"/>
    <col min="3" max="15" width="15.140625" customWidth="1"/>
    <col min="16" max="16" width="10" bestFit="1" customWidth="1"/>
    <col min="18" max="18" width="10" bestFit="1" customWidth="1"/>
  </cols>
  <sheetData>
    <row r="1" spans="1:16" ht="15.75" thickBot="1" x14ac:dyDescent="0.3">
      <c r="C1" s="193">
        <v>45658</v>
      </c>
      <c r="D1" s="193">
        <v>45689</v>
      </c>
      <c r="E1" s="193">
        <v>45717</v>
      </c>
      <c r="F1" s="193">
        <v>45748</v>
      </c>
      <c r="G1" s="193">
        <v>45778</v>
      </c>
      <c r="H1" s="193">
        <v>45809</v>
      </c>
      <c r="I1" s="193">
        <v>45839</v>
      </c>
      <c r="J1" s="193">
        <v>45870</v>
      </c>
      <c r="K1" s="193">
        <v>45901</v>
      </c>
      <c r="L1" s="193">
        <v>45931</v>
      </c>
      <c r="M1" s="193">
        <v>45962</v>
      </c>
      <c r="N1" s="193">
        <v>45992</v>
      </c>
    </row>
    <row r="2" spans="1:16" hidden="1" x14ac:dyDescent="0.25">
      <c r="A2" s="182" t="s">
        <v>248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</row>
    <row r="3" spans="1:16" hidden="1" x14ac:dyDescent="0.25">
      <c r="B3" t="s">
        <v>249</v>
      </c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</row>
    <row r="4" spans="1:16" hidden="1" x14ac:dyDescent="0.25">
      <c r="B4" t="s">
        <v>250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</row>
    <row r="5" spans="1:16" hidden="1" x14ac:dyDescent="0.25">
      <c r="B5" t="s">
        <v>251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</row>
    <row r="6" spans="1:16" hidden="1" x14ac:dyDescent="0.25">
      <c r="B6" t="s">
        <v>252</v>
      </c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</row>
    <row r="7" spans="1:16" hidden="1" x14ac:dyDescent="0.25">
      <c r="B7" t="s">
        <v>253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6" hidden="1" x14ac:dyDescent="0.25">
      <c r="B8" t="s">
        <v>254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6" hidden="1" x14ac:dyDescent="0.25">
      <c r="B9" t="s">
        <v>255</v>
      </c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</row>
    <row r="10" spans="1:16" hidden="1" x14ac:dyDescent="0.25">
      <c r="C10" s="181">
        <f>SUM(C2:C9)</f>
        <v>0</v>
      </c>
      <c r="D10" s="181">
        <f t="shared" ref="D10:N10" si="0">SUM(D2:D9)</f>
        <v>0</v>
      </c>
      <c r="E10" s="181">
        <f t="shared" si="0"/>
        <v>0</v>
      </c>
      <c r="F10" s="181">
        <f t="shared" si="0"/>
        <v>0</v>
      </c>
      <c r="G10" s="181">
        <f t="shared" si="0"/>
        <v>0</v>
      </c>
      <c r="H10" s="181">
        <f t="shared" si="0"/>
        <v>0</v>
      </c>
      <c r="I10" s="181">
        <f t="shared" si="0"/>
        <v>0</v>
      </c>
      <c r="J10" s="181">
        <f t="shared" si="0"/>
        <v>0</v>
      </c>
      <c r="K10" s="181">
        <f t="shared" si="0"/>
        <v>0</v>
      </c>
      <c r="L10" s="181">
        <f t="shared" si="0"/>
        <v>0</v>
      </c>
      <c r="M10" s="181">
        <f t="shared" si="0"/>
        <v>0</v>
      </c>
      <c r="N10" s="181">
        <f t="shared" si="0"/>
        <v>0</v>
      </c>
      <c r="O10" s="181"/>
      <c r="P10" s="181"/>
    </row>
    <row r="11" spans="1:16" x14ac:dyDescent="0.25">
      <c r="A11" s="182" t="s">
        <v>256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</row>
    <row r="12" spans="1:16" x14ac:dyDescent="0.25">
      <c r="B12" t="s">
        <v>249</v>
      </c>
      <c r="C12" s="181">
        <v>1647.26</v>
      </c>
      <c r="D12" s="181"/>
      <c r="E12" s="181">
        <v>1647.26</v>
      </c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</row>
    <row r="13" spans="1:16" x14ac:dyDescent="0.25">
      <c r="B13" t="s">
        <v>260</v>
      </c>
      <c r="C13" s="181"/>
      <c r="D13" s="181"/>
      <c r="E13" s="181">
        <v>150</v>
      </c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</row>
    <row r="14" spans="1:16" x14ac:dyDescent="0.25">
      <c r="B14" t="s">
        <v>250</v>
      </c>
      <c r="C14" s="181">
        <v>374</v>
      </c>
      <c r="D14" s="181"/>
      <c r="E14" s="181">
        <v>484</v>
      </c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</row>
    <row r="15" spans="1:16" x14ac:dyDescent="0.25">
      <c r="B15" t="s">
        <v>251</v>
      </c>
      <c r="C15" s="181">
        <v>400</v>
      </c>
      <c r="D15" s="181"/>
      <c r="E15" s="181">
        <f>551.2+10.8</f>
        <v>562</v>
      </c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</row>
    <row r="16" spans="1:16" x14ac:dyDescent="0.25">
      <c r="B16" t="s">
        <v>253</v>
      </c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</row>
    <row r="17" spans="1:16" x14ac:dyDescent="0.25">
      <c r="B17" t="s">
        <v>254</v>
      </c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</row>
    <row r="18" spans="1:16" x14ac:dyDescent="0.25">
      <c r="B18" t="s">
        <v>257</v>
      </c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</row>
    <row r="19" spans="1:16" x14ac:dyDescent="0.25">
      <c r="B19" t="s">
        <v>255</v>
      </c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</row>
    <row r="20" spans="1:16" x14ac:dyDescent="0.25">
      <c r="C20" s="181">
        <f>SUM(C11:C19)</f>
        <v>2421.2600000000002</v>
      </c>
      <c r="D20" s="181">
        <f t="shared" ref="D20:N20" si="1">SUM(D11:D19)</f>
        <v>0</v>
      </c>
      <c r="E20" s="181">
        <f t="shared" si="1"/>
        <v>2843.26</v>
      </c>
      <c r="F20" s="181">
        <f t="shared" si="1"/>
        <v>0</v>
      </c>
      <c r="G20" s="181">
        <f t="shared" si="1"/>
        <v>0</v>
      </c>
      <c r="H20" s="181">
        <f t="shared" si="1"/>
        <v>0</v>
      </c>
      <c r="I20" s="181">
        <f t="shared" si="1"/>
        <v>0</v>
      </c>
      <c r="J20" s="181">
        <f t="shared" si="1"/>
        <v>0</v>
      </c>
      <c r="K20" s="181">
        <f t="shared" si="1"/>
        <v>0</v>
      </c>
      <c r="L20" s="181">
        <f t="shared" si="1"/>
        <v>0</v>
      </c>
      <c r="M20" s="181">
        <f t="shared" si="1"/>
        <v>0</v>
      </c>
      <c r="N20" s="181">
        <f t="shared" si="1"/>
        <v>0</v>
      </c>
      <c r="O20" s="181"/>
      <c r="P20" s="181"/>
    </row>
    <row r="21" spans="1:16" hidden="1" x14ac:dyDescent="0.25">
      <c r="A21" s="182" t="s">
        <v>258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</row>
    <row r="22" spans="1:16" hidden="1" x14ac:dyDescent="0.25">
      <c r="B22" t="s">
        <v>249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</row>
    <row r="23" spans="1:16" hidden="1" x14ac:dyDescent="0.25">
      <c r="B23" t="s">
        <v>250</v>
      </c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</row>
    <row r="24" spans="1:16" hidden="1" x14ac:dyDescent="0.25">
      <c r="B24" t="s">
        <v>251</v>
      </c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</row>
    <row r="25" spans="1:16" hidden="1" x14ac:dyDescent="0.25">
      <c r="B25" t="s">
        <v>253</v>
      </c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</row>
    <row r="26" spans="1:16" hidden="1" x14ac:dyDescent="0.25">
      <c r="B26" t="s">
        <v>254</v>
      </c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</row>
    <row r="27" spans="1:16" hidden="1" x14ac:dyDescent="0.25">
      <c r="B27" t="s">
        <v>257</v>
      </c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</row>
    <row r="28" spans="1:16" hidden="1" x14ac:dyDescent="0.25">
      <c r="B28" t="s">
        <v>255</v>
      </c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</row>
    <row r="29" spans="1:16" hidden="1" x14ac:dyDescent="0.25">
      <c r="C29" s="181">
        <f>SUM(C21:C28)</f>
        <v>0</v>
      </c>
      <c r="D29" s="181">
        <f t="shared" ref="D29:N29" si="2">SUM(D21:D28)</f>
        <v>0</v>
      </c>
      <c r="E29" s="181">
        <f t="shared" si="2"/>
        <v>0</v>
      </c>
      <c r="F29" s="181">
        <f t="shared" si="2"/>
        <v>0</v>
      </c>
      <c r="G29" s="181">
        <f t="shared" si="2"/>
        <v>0</v>
      </c>
      <c r="H29" s="181">
        <f t="shared" si="2"/>
        <v>0</v>
      </c>
      <c r="I29" s="181">
        <f t="shared" si="2"/>
        <v>0</v>
      </c>
      <c r="J29" s="181">
        <f t="shared" si="2"/>
        <v>0</v>
      </c>
      <c r="K29" s="181">
        <f t="shared" si="2"/>
        <v>0</v>
      </c>
      <c r="L29" s="181">
        <f t="shared" si="2"/>
        <v>0</v>
      </c>
      <c r="M29" s="181">
        <f t="shared" si="2"/>
        <v>0</v>
      </c>
      <c r="N29" s="181">
        <f t="shared" si="2"/>
        <v>0</v>
      </c>
      <c r="O29" s="181"/>
      <c r="P29" s="181"/>
    </row>
    <row r="30" spans="1:16" x14ac:dyDescent="0.25">
      <c r="A30" s="182" t="s">
        <v>259</v>
      </c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</row>
    <row r="31" spans="1:16" x14ac:dyDescent="0.25">
      <c r="B31" t="s">
        <v>249</v>
      </c>
      <c r="C31" s="181">
        <v>604.89</v>
      </c>
      <c r="D31" s="181">
        <v>951.17</v>
      </c>
      <c r="E31" s="181">
        <v>3391.46</v>
      </c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</row>
    <row r="32" spans="1:16" x14ac:dyDescent="0.25">
      <c r="B32" t="s">
        <v>260</v>
      </c>
      <c r="C32" s="181">
        <v>150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</row>
    <row r="33" spans="1:16" x14ac:dyDescent="0.25">
      <c r="B33" t="s">
        <v>250</v>
      </c>
      <c r="C33" s="181">
        <v>374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</row>
    <row r="34" spans="1:16" x14ac:dyDescent="0.25">
      <c r="B34" t="s">
        <v>251</v>
      </c>
      <c r="C34" s="181">
        <f>207.2+592</f>
        <v>799.2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</row>
    <row r="35" spans="1:16" x14ac:dyDescent="0.25">
      <c r="B35" t="s">
        <v>253</v>
      </c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</row>
    <row r="36" spans="1:16" x14ac:dyDescent="0.25">
      <c r="B36" t="s">
        <v>254</v>
      </c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</row>
    <row r="37" spans="1:16" x14ac:dyDescent="0.25">
      <c r="B37" t="s">
        <v>257</v>
      </c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</row>
    <row r="38" spans="1:16" x14ac:dyDescent="0.25">
      <c r="B38" t="s">
        <v>255</v>
      </c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</row>
    <row r="39" spans="1:16" x14ac:dyDescent="0.25">
      <c r="C39" s="181">
        <f>SUM(C30:C38)</f>
        <v>1928.09</v>
      </c>
      <c r="D39" s="181">
        <f t="shared" ref="D39:N39" si="3">SUM(D30:D38)</f>
        <v>951.17</v>
      </c>
      <c r="E39" s="181">
        <f t="shared" si="3"/>
        <v>3391.46</v>
      </c>
      <c r="F39" s="181">
        <f t="shared" si="3"/>
        <v>0</v>
      </c>
      <c r="G39" s="181">
        <f t="shared" si="3"/>
        <v>0</v>
      </c>
      <c r="H39" s="181">
        <f t="shared" si="3"/>
        <v>0</v>
      </c>
      <c r="I39" s="181">
        <f t="shared" si="3"/>
        <v>0</v>
      </c>
      <c r="J39" s="181">
        <f t="shared" si="3"/>
        <v>0</v>
      </c>
      <c r="K39" s="181">
        <f t="shared" si="3"/>
        <v>0</v>
      </c>
      <c r="L39" s="181">
        <f t="shared" si="3"/>
        <v>0</v>
      </c>
      <c r="M39" s="181">
        <f t="shared" si="3"/>
        <v>0</v>
      </c>
      <c r="N39" s="181">
        <f t="shared" si="3"/>
        <v>0</v>
      </c>
      <c r="O39" s="181"/>
      <c r="P39" s="181"/>
    </row>
    <row r="40" spans="1:16" x14ac:dyDescent="0.25">
      <c r="A40" s="182" t="s">
        <v>261</v>
      </c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</row>
    <row r="41" spans="1:16" x14ac:dyDescent="0.25">
      <c r="B41" t="s">
        <v>249</v>
      </c>
      <c r="C41" s="181">
        <f>1500+147.26</f>
        <v>1647.26</v>
      </c>
      <c r="D41" s="181"/>
      <c r="E41" s="181">
        <v>1647.26</v>
      </c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</row>
    <row r="42" spans="1:16" x14ac:dyDescent="0.25">
      <c r="B42" t="s">
        <v>260</v>
      </c>
      <c r="C42" s="181">
        <f>800+182</f>
        <v>982</v>
      </c>
      <c r="D42" s="181"/>
      <c r="E42" s="181">
        <f>600+1820.5+150</f>
        <v>2570.5</v>
      </c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</row>
    <row r="43" spans="1:16" x14ac:dyDescent="0.25">
      <c r="B43" t="s">
        <v>250</v>
      </c>
      <c r="C43" s="181">
        <v>374</v>
      </c>
      <c r="D43" s="181"/>
      <c r="E43" s="181">
        <v>484</v>
      </c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</row>
    <row r="44" spans="1:16" x14ac:dyDescent="0.25">
      <c r="B44" t="s">
        <v>251</v>
      </c>
      <c r="C44" s="181">
        <v>580</v>
      </c>
      <c r="D44" s="181"/>
      <c r="E44" s="181">
        <f>207.2+785.2+10.8</f>
        <v>1003.2</v>
      </c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</row>
    <row r="45" spans="1:16" x14ac:dyDescent="0.25">
      <c r="B45" t="s">
        <v>253</v>
      </c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</row>
    <row r="46" spans="1:16" x14ac:dyDescent="0.25">
      <c r="B46" t="s">
        <v>254</v>
      </c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</row>
    <row r="47" spans="1:16" x14ac:dyDescent="0.25">
      <c r="B47" t="s">
        <v>257</v>
      </c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</row>
    <row r="48" spans="1:16" x14ac:dyDescent="0.25">
      <c r="B48" t="s">
        <v>255</v>
      </c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</row>
    <row r="49" spans="1:16" x14ac:dyDescent="0.25">
      <c r="C49" s="181">
        <f>SUM(C40:C48)</f>
        <v>3583.26</v>
      </c>
      <c r="D49" s="181">
        <f t="shared" ref="D49:N49" si="4">SUM(D40:D48)</f>
        <v>0</v>
      </c>
      <c r="E49" s="181">
        <f t="shared" si="4"/>
        <v>5704.96</v>
      </c>
      <c r="F49" s="181">
        <f t="shared" si="4"/>
        <v>0</v>
      </c>
      <c r="G49" s="181">
        <f t="shared" si="4"/>
        <v>0</v>
      </c>
      <c r="H49" s="181">
        <f t="shared" si="4"/>
        <v>0</v>
      </c>
      <c r="I49" s="181">
        <f t="shared" si="4"/>
        <v>0</v>
      </c>
      <c r="J49" s="181">
        <f t="shared" si="4"/>
        <v>0</v>
      </c>
      <c r="K49" s="181">
        <f t="shared" si="4"/>
        <v>0</v>
      </c>
      <c r="L49" s="181">
        <f t="shared" si="4"/>
        <v>0</v>
      </c>
      <c r="M49" s="181">
        <f t="shared" si="4"/>
        <v>0</v>
      </c>
      <c r="N49" s="181">
        <f t="shared" si="4"/>
        <v>0</v>
      </c>
      <c r="O49" s="181"/>
      <c r="P49" s="181"/>
    </row>
    <row r="50" spans="1:16" x14ac:dyDescent="0.25">
      <c r="A50" s="182" t="s">
        <v>262</v>
      </c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</row>
    <row r="51" spans="1:16" x14ac:dyDescent="0.25">
      <c r="B51" t="s">
        <v>249</v>
      </c>
      <c r="C51" s="181">
        <v>1647.26</v>
      </c>
      <c r="D51" s="181">
        <v>300</v>
      </c>
      <c r="E51" s="181">
        <f>1647.26-300</f>
        <v>1347.26</v>
      </c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</row>
    <row r="52" spans="1:16" x14ac:dyDescent="0.25">
      <c r="B52" t="s">
        <v>260</v>
      </c>
      <c r="C52" s="181">
        <v>860</v>
      </c>
      <c r="D52" s="181"/>
      <c r="E52" s="181">
        <v>2612.5</v>
      </c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</row>
    <row r="53" spans="1:16" x14ac:dyDescent="0.25">
      <c r="B53" t="s">
        <v>250</v>
      </c>
      <c r="C53" s="181">
        <v>374</v>
      </c>
      <c r="D53" s="181"/>
      <c r="E53" s="181">
        <v>484</v>
      </c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</row>
    <row r="54" spans="1:16" x14ac:dyDescent="0.25">
      <c r="B54" t="s">
        <v>251</v>
      </c>
      <c r="C54" s="181">
        <v>200</v>
      </c>
      <c r="D54" s="181"/>
      <c r="E54" s="181">
        <f>275.6+5.4</f>
        <v>281</v>
      </c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</row>
    <row r="55" spans="1:16" x14ac:dyDescent="0.25">
      <c r="B55" t="s">
        <v>253</v>
      </c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</row>
    <row r="56" spans="1:16" x14ac:dyDescent="0.25">
      <c r="B56" t="s">
        <v>254</v>
      </c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</row>
    <row r="57" spans="1:16" x14ac:dyDescent="0.25">
      <c r="B57" t="s">
        <v>257</v>
      </c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</row>
    <row r="58" spans="1:16" x14ac:dyDescent="0.25">
      <c r="B58" t="s">
        <v>255</v>
      </c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</row>
    <row r="59" spans="1:16" x14ac:dyDescent="0.25">
      <c r="C59" s="181">
        <f>SUM(C50:C58)</f>
        <v>3081.26</v>
      </c>
      <c r="D59" s="181">
        <f t="shared" ref="D59:N59" si="5">SUM(D50:D58)</f>
        <v>300</v>
      </c>
      <c r="E59" s="181">
        <f t="shared" si="5"/>
        <v>4724.76</v>
      </c>
      <c r="F59" s="181">
        <f t="shared" si="5"/>
        <v>0</v>
      </c>
      <c r="G59" s="181">
        <f t="shared" si="5"/>
        <v>0</v>
      </c>
      <c r="H59" s="181">
        <f t="shared" si="5"/>
        <v>0</v>
      </c>
      <c r="I59" s="181">
        <f t="shared" si="5"/>
        <v>0</v>
      </c>
      <c r="J59" s="181">
        <f t="shared" si="5"/>
        <v>0</v>
      </c>
      <c r="K59" s="181">
        <f t="shared" si="5"/>
        <v>0</v>
      </c>
      <c r="L59" s="181">
        <f t="shared" si="5"/>
        <v>0</v>
      </c>
      <c r="M59" s="181">
        <f t="shared" si="5"/>
        <v>0</v>
      </c>
      <c r="N59" s="181">
        <f t="shared" si="5"/>
        <v>0</v>
      </c>
      <c r="O59" s="181"/>
      <c r="P59" s="181"/>
    </row>
    <row r="60" spans="1:16" hidden="1" x14ac:dyDescent="0.25">
      <c r="A60" s="182" t="s">
        <v>263</v>
      </c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</row>
    <row r="61" spans="1:16" hidden="1" x14ac:dyDescent="0.25">
      <c r="B61" t="s">
        <v>249</v>
      </c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</row>
    <row r="62" spans="1:16" hidden="1" x14ac:dyDescent="0.25">
      <c r="B62" t="s">
        <v>260</v>
      </c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</row>
    <row r="63" spans="1:16" hidden="1" x14ac:dyDescent="0.25">
      <c r="B63" t="s">
        <v>250</v>
      </c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</row>
    <row r="64" spans="1:16" hidden="1" x14ac:dyDescent="0.25">
      <c r="B64" t="s">
        <v>251</v>
      </c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</row>
    <row r="65" spans="1:16" hidden="1" x14ac:dyDescent="0.25">
      <c r="B65" t="s">
        <v>253</v>
      </c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</row>
    <row r="66" spans="1:16" hidden="1" x14ac:dyDescent="0.25">
      <c r="B66" t="s">
        <v>254</v>
      </c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</row>
    <row r="67" spans="1:16" hidden="1" x14ac:dyDescent="0.25">
      <c r="B67" t="s">
        <v>257</v>
      </c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</row>
    <row r="68" spans="1:16" hidden="1" x14ac:dyDescent="0.25">
      <c r="B68" t="s">
        <v>255</v>
      </c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</row>
    <row r="69" spans="1:16" hidden="1" x14ac:dyDescent="0.25">
      <c r="C69" s="181">
        <f>SUM(C61:C68)</f>
        <v>0</v>
      </c>
      <c r="D69" s="181">
        <f t="shared" ref="D69:N69" si="6">SUM(D61:D68)</f>
        <v>0</v>
      </c>
      <c r="E69" s="181">
        <f t="shared" si="6"/>
        <v>0</v>
      </c>
      <c r="F69" s="181">
        <f t="shared" si="6"/>
        <v>0</v>
      </c>
      <c r="G69" s="181">
        <f t="shared" si="6"/>
        <v>0</v>
      </c>
      <c r="H69" s="181">
        <f t="shared" si="6"/>
        <v>0</v>
      </c>
      <c r="I69" s="181">
        <f t="shared" si="6"/>
        <v>0</v>
      </c>
      <c r="J69" s="181">
        <f t="shared" si="6"/>
        <v>0</v>
      </c>
      <c r="K69" s="181">
        <f t="shared" si="6"/>
        <v>0</v>
      </c>
      <c r="L69" s="181">
        <f t="shared" si="6"/>
        <v>0</v>
      </c>
      <c r="M69" s="181">
        <f t="shared" si="6"/>
        <v>0</v>
      </c>
      <c r="N69" s="181">
        <f t="shared" si="6"/>
        <v>0</v>
      </c>
      <c r="O69" s="181"/>
      <c r="P69" s="181"/>
    </row>
    <row r="70" spans="1:16" hidden="1" x14ac:dyDescent="0.25"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</row>
    <row r="71" spans="1:16" hidden="1" x14ac:dyDescent="0.25">
      <c r="A71" s="182" t="s">
        <v>264</v>
      </c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</row>
    <row r="72" spans="1:16" hidden="1" x14ac:dyDescent="0.25">
      <c r="B72" t="s">
        <v>249</v>
      </c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</row>
    <row r="73" spans="1:16" hidden="1" x14ac:dyDescent="0.25">
      <c r="B73" t="s">
        <v>260</v>
      </c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</row>
    <row r="74" spans="1:16" hidden="1" x14ac:dyDescent="0.25">
      <c r="B74" t="s">
        <v>250</v>
      </c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</row>
    <row r="75" spans="1:16" hidden="1" x14ac:dyDescent="0.25">
      <c r="B75" t="s">
        <v>251</v>
      </c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</row>
    <row r="76" spans="1:16" hidden="1" x14ac:dyDescent="0.25">
      <c r="B76" t="s">
        <v>253</v>
      </c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</row>
    <row r="77" spans="1:16" hidden="1" x14ac:dyDescent="0.25">
      <c r="B77" t="s">
        <v>254</v>
      </c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</row>
    <row r="78" spans="1:16" hidden="1" x14ac:dyDescent="0.25">
      <c r="B78" t="s">
        <v>257</v>
      </c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</row>
    <row r="79" spans="1:16" hidden="1" x14ac:dyDescent="0.25">
      <c r="B79" t="s">
        <v>255</v>
      </c>
      <c r="C79" s="181"/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</row>
    <row r="80" spans="1:16" hidden="1" x14ac:dyDescent="0.25">
      <c r="C80" s="181">
        <f>SUM(C72:C79)</f>
        <v>0</v>
      </c>
      <c r="D80" s="181">
        <f t="shared" ref="D80:N80" si="7">SUM(D72:D79)</f>
        <v>0</v>
      </c>
      <c r="E80" s="181">
        <f t="shared" si="7"/>
        <v>0</v>
      </c>
      <c r="F80" s="181">
        <f t="shared" si="7"/>
        <v>0</v>
      </c>
      <c r="G80" s="181">
        <f t="shared" si="7"/>
        <v>0</v>
      </c>
      <c r="H80" s="181">
        <f t="shared" si="7"/>
        <v>0</v>
      </c>
      <c r="I80" s="181">
        <f t="shared" si="7"/>
        <v>0</v>
      </c>
      <c r="J80" s="181">
        <f t="shared" si="7"/>
        <v>0</v>
      </c>
      <c r="K80" s="181">
        <f t="shared" si="7"/>
        <v>0</v>
      </c>
      <c r="L80" s="181">
        <f t="shared" si="7"/>
        <v>0</v>
      </c>
      <c r="M80" s="181">
        <f t="shared" si="7"/>
        <v>0</v>
      </c>
      <c r="N80" s="181">
        <f t="shared" si="7"/>
        <v>0</v>
      </c>
      <c r="O80" s="181"/>
      <c r="P80" s="181"/>
    </row>
    <row r="81" spans="1:16" x14ac:dyDescent="0.25">
      <c r="A81" s="182" t="s">
        <v>265</v>
      </c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</row>
    <row r="82" spans="1:16" x14ac:dyDescent="0.25">
      <c r="B82" t="s">
        <v>249</v>
      </c>
      <c r="C82" s="181">
        <v>1647.26</v>
      </c>
      <c r="D82" s="181">
        <v>3675.89</v>
      </c>
      <c r="E82" s="181">
        <v>460</v>
      </c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</row>
    <row r="83" spans="1:16" x14ac:dyDescent="0.25">
      <c r="B83" t="s">
        <v>260</v>
      </c>
      <c r="C83" s="181">
        <f>400+486</f>
        <v>886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</row>
    <row r="84" spans="1:16" x14ac:dyDescent="0.25">
      <c r="B84" t="s">
        <v>250</v>
      </c>
      <c r="C84" s="181">
        <v>198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</row>
    <row r="85" spans="1:16" x14ac:dyDescent="0.25">
      <c r="B85" t="s">
        <v>251</v>
      </c>
      <c r="C85" s="181">
        <v>200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</row>
    <row r="86" spans="1:16" x14ac:dyDescent="0.25">
      <c r="B86" t="s">
        <v>253</v>
      </c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</row>
    <row r="87" spans="1:16" x14ac:dyDescent="0.25">
      <c r="B87" t="s">
        <v>254</v>
      </c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</row>
    <row r="88" spans="1:16" x14ac:dyDescent="0.25">
      <c r="B88" t="s">
        <v>257</v>
      </c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</row>
    <row r="89" spans="1:16" x14ac:dyDescent="0.25">
      <c r="B89" t="s">
        <v>255</v>
      </c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</row>
    <row r="90" spans="1:16" x14ac:dyDescent="0.25">
      <c r="C90" s="181">
        <f>SUM(C82:C89)</f>
        <v>2931.26</v>
      </c>
      <c r="D90" s="181">
        <f>SUM(D82:D89)</f>
        <v>3675.89</v>
      </c>
      <c r="E90" s="181">
        <f>SUM(E82:E89)</f>
        <v>460</v>
      </c>
      <c r="F90" s="181">
        <f t="shared" ref="F90:N90" si="8">SUM(F82:F89)</f>
        <v>0</v>
      </c>
      <c r="G90" s="181">
        <f t="shared" si="8"/>
        <v>0</v>
      </c>
      <c r="H90" s="181">
        <f t="shared" si="8"/>
        <v>0</v>
      </c>
      <c r="I90" s="181">
        <f t="shared" si="8"/>
        <v>0</v>
      </c>
      <c r="J90" s="181">
        <f t="shared" si="8"/>
        <v>0</v>
      </c>
      <c r="K90" s="181">
        <f t="shared" si="8"/>
        <v>0</v>
      </c>
      <c r="L90" s="181">
        <f t="shared" si="8"/>
        <v>0</v>
      </c>
      <c r="M90" s="181">
        <f t="shared" si="8"/>
        <v>0</v>
      </c>
      <c r="N90" s="181">
        <f t="shared" si="8"/>
        <v>0</v>
      </c>
      <c r="O90" s="181"/>
      <c r="P90" s="181"/>
    </row>
    <row r="91" spans="1:16" x14ac:dyDescent="0.25">
      <c r="A91" s="182" t="s">
        <v>368</v>
      </c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</row>
    <row r="92" spans="1:16" x14ac:dyDescent="0.25">
      <c r="B92" t="s">
        <v>249</v>
      </c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</row>
    <row r="93" spans="1:16" x14ac:dyDescent="0.25">
      <c r="B93" t="s">
        <v>260</v>
      </c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</row>
    <row r="94" spans="1:16" x14ac:dyDescent="0.25">
      <c r="B94" t="s">
        <v>250</v>
      </c>
      <c r="C94" s="181"/>
      <c r="D94" s="181"/>
      <c r="E94" s="181">
        <v>484</v>
      </c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</row>
    <row r="95" spans="1:16" x14ac:dyDescent="0.25">
      <c r="B95" t="s">
        <v>251</v>
      </c>
      <c r="C95" s="181"/>
      <c r="D95" s="181"/>
      <c r="E95" s="181">
        <v>657.2</v>
      </c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</row>
    <row r="96" spans="1:16" x14ac:dyDescent="0.25">
      <c r="B96" t="s">
        <v>253</v>
      </c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</row>
    <row r="97" spans="1:16" x14ac:dyDescent="0.25">
      <c r="B97" t="s">
        <v>254</v>
      </c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</row>
    <row r="98" spans="1:16" x14ac:dyDescent="0.25">
      <c r="B98" t="s">
        <v>257</v>
      </c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</row>
    <row r="99" spans="1:16" x14ac:dyDescent="0.25">
      <c r="B99" t="s">
        <v>255</v>
      </c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</row>
    <row r="100" spans="1:16" x14ac:dyDescent="0.25">
      <c r="C100" s="181">
        <f>SUM(C92:C99)</f>
        <v>0</v>
      </c>
      <c r="D100" s="181">
        <f>SUM(D92:D99)</f>
        <v>0</v>
      </c>
      <c r="E100" s="181">
        <f>SUM(E92:E99)</f>
        <v>1141.2</v>
      </c>
      <c r="F100" s="181">
        <f t="shared" ref="F100:N100" si="9">SUM(F92:F99)</f>
        <v>0</v>
      </c>
      <c r="G100" s="181">
        <f t="shared" si="9"/>
        <v>0</v>
      </c>
      <c r="H100" s="181">
        <f t="shared" si="9"/>
        <v>0</v>
      </c>
      <c r="I100" s="181">
        <f t="shared" si="9"/>
        <v>0</v>
      </c>
      <c r="J100" s="181">
        <f t="shared" si="9"/>
        <v>0</v>
      </c>
      <c r="K100" s="181">
        <f t="shared" si="9"/>
        <v>0</v>
      </c>
      <c r="L100" s="181">
        <f t="shared" si="9"/>
        <v>0</v>
      </c>
      <c r="M100" s="181">
        <f t="shared" si="9"/>
        <v>0</v>
      </c>
      <c r="N100" s="181">
        <f t="shared" si="9"/>
        <v>0</v>
      </c>
      <c r="O100" s="181"/>
      <c r="P100" s="181"/>
    </row>
    <row r="101" spans="1:16" x14ac:dyDescent="0.25">
      <c r="A101" s="182" t="s">
        <v>292</v>
      </c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</row>
    <row r="102" spans="1:16" x14ac:dyDescent="0.25">
      <c r="B102" t="s">
        <v>249</v>
      </c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</row>
    <row r="103" spans="1:16" x14ac:dyDescent="0.25">
      <c r="B103" t="s">
        <v>260</v>
      </c>
      <c r="C103" s="181">
        <v>450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</row>
    <row r="104" spans="1:16" x14ac:dyDescent="0.25">
      <c r="B104" t="s">
        <v>250</v>
      </c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</row>
    <row r="105" spans="1:16" x14ac:dyDescent="0.25">
      <c r="B105" t="s">
        <v>251</v>
      </c>
      <c r="C105" s="181"/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</row>
    <row r="106" spans="1:16" x14ac:dyDescent="0.25">
      <c r="B106" t="s">
        <v>253</v>
      </c>
      <c r="C106" s="181"/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</row>
    <row r="107" spans="1:16" x14ac:dyDescent="0.25">
      <c r="B107" t="s">
        <v>254</v>
      </c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</row>
    <row r="108" spans="1:16" x14ac:dyDescent="0.25">
      <c r="B108" t="s">
        <v>255</v>
      </c>
      <c r="C108" s="181"/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</row>
    <row r="109" spans="1:16" x14ac:dyDescent="0.25">
      <c r="C109" s="181">
        <f>SUM(C102:C108)</f>
        <v>450</v>
      </c>
      <c r="D109" s="181">
        <f t="shared" ref="D109:N109" si="10">SUM(D102:D108)</f>
        <v>0</v>
      </c>
      <c r="E109" s="181">
        <f t="shared" si="10"/>
        <v>0</v>
      </c>
      <c r="F109" s="181">
        <f t="shared" si="10"/>
        <v>0</v>
      </c>
      <c r="G109" s="181">
        <f t="shared" si="10"/>
        <v>0</v>
      </c>
      <c r="H109" s="181">
        <f t="shared" si="10"/>
        <v>0</v>
      </c>
      <c r="I109" s="181">
        <f t="shared" si="10"/>
        <v>0</v>
      </c>
      <c r="J109" s="181">
        <f t="shared" si="10"/>
        <v>0</v>
      </c>
      <c r="K109" s="181">
        <f t="shared" si="10"/>
        <v>0</v>
      </c>
      <c r="L109" s="181">
        <f t="shared" si="10"/>
        <v>0</v>
      </c>
      <c r="M109" s="181">
        <f t="shared" si="10"/>
        <v>0</v>
      </c>
      <c r="N109" s="181">
        <f t="shared" si="10"/>
        <v>0</v>
      </c>
      <c r="O109" s="181"/>
    </row>
    <row r="110" spans="1:16" x14ac:dyDescent="0.25">
      <c r="A110" s="182" t="s">
        <v>266</v>
      </c>
      <c r="C110" s="181"/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</row>
    <row r="111" spans="1:16" x14ac:dyDescent="0.25">
      <c r="B111" t="s">
        <v>260</v>
      </c>
      <c r="C111" s="181"/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</row>
    <row r="112" spans="1:16" x14ac:dyDescent="0.25">
      <c r="B112" t="s">
        <v>255</v>
      </c>
      <c r="C112" s="181"/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</row>
    <row r="113" spans="1:16" x14ac:dyDescent="0.25">
      <c r="C113" s="181">
        <f t="shared" ref="C113:N113" si="11">SUM(C110:C112)</f>
        <v>0</v>
      </c>
      <c r="D113" s="181">
        <f t="shared" si="11"/>
        <v>0</v>
      </c>
      <c r="E113" s="181">
        <f t="shared" si="11"/>
        <v>0</v>
      </c>
      <c r="F113" s="181">
        <f t="shared" si="11"/>
        <v>0</v>
      </c>
      <c r="G113" s="181">
        <f t="shared" si="11"/>
        <v>0</v>
      </c>
      <c r="H113" s="181">
        <f t="shared" si="11"/>
        <v>0</v>
      </c>
      <c r="I113" s="181">
        <f t="shared" si="11"/>
        <v>0</v>
      </c>
      <c r="J113" s="181">
        <f t="shared" si="11"/>
        <v>0</v>
      </c>
      <c r="K113" s="181">
        <f t="shared" si="11"/>
        <v>0</v>
      </c>
      <c r="L113" s="181">
        <f t="shared" si="11"/>
        <v>0</v>
      </c>
      <c r="M113" s="181">
        <f t="shared" si="11"/>
        <v>0</v>
      </c>
      <c r="N113" s="181">
        <f t="shared" si="11"/>
        <v>0</v>
      </c>
      <c r="O113" s="181"/>
    </row>
    <row r="114" spans="1:16" hidden="1" x14ac:dyDescent="0.25">
      <c r="A114" s="182" t="s">
        <v>267</v>
      </c>
      <c r="C114" s="181"/>
      <c r="D114" s="181"/>
      <c r="E114" s="181"/>
      <c r="F114" s="181"/>
      <c r="G114" s="181"/>
      <c r="H114" s="181"/>
      <c r="I114" s="181"/>
      <c r="J114" s="181"/>
      <c r="K114" s="181"/>
      <c r="L114" s="181"/>
      <c r="M114" s="181"/>
      <c r="N114" s="181"/>
      <c r="O114" s="181"/>
    </row>
    <row r="115" spans="1:16" hidden="1" x14ac:dyDescent="0.25">
      <c r="B115" t="s">
        <v>268</v>
      </c>
      <c r="C115" s="181"/>
      <c r="D115" s="181"/>
      <c r="E115" s="181"/>
      <c r="F115" s="181"/>
      <c r="G115" s="181"/>
      <c r="H115" s="181"/>
      <c r="I115" s="181"/>
      <c r="J115" s="181"/>
      <c r="K115" s="181"/>
      <c r="L115" s="181"/>
      <c r="M115" s="181"/>
      <c r="N115" s="181"/>
      <c r="O115" s="181"/>
    </row>
    <row r="116" spans="1:16" hidden="1" x14ac:dyDescent="0.25">
      <c r="B116" t="s">
        <v>250</v>
      </c>
      <c r="C116" s="181"/>
      <c r="D116" s="181"/>
      <c r="E116" s="181"/>
      <c r="F116" s="181"/>
      <c r="G116" s="181"/>
      <c r="H116" s="181"/>
      <c r="I116" s="181"/>
      <c r="J116" s="181"/>
      <c r="K116" s="181"/>
      <c r="L116" s="181"/>
      <c r="M116" s="181"/>
      <c r="N116" s="181"/>
      <c r="O116" s="181"/>
    </row>
    <row r="117" spans="1:16" hidden="1" x14ac:dyDescent="0.25">
      <c r="B117" t="s">
        <v>251</v>
      </c>
      <c r="C117" s="181"/>
      <c r="D117" s="181"/>
      <c r="E117" s="181"/>
      <c r="F117" s="181"/>
      <c r="G117" s="181"/>
      <c r="H117" s="181"/>
      <c r="I117" s="181"/>
      <c r="J117" s="181"/>
      <c r="K117" s="181"/>
      <c r="L117" s="181"/>
      <c r="M117" s="181"/>
      <c r="N117" s="181"/>
      <c r="O117" s="181"/>
    </row>
    <row r="118" spans="1:16" hidden="1" x14ac:dyDescent="0.25">
      <c r="B118" t="s">
        <v>255</v>
      </c>
      <c r="C118" s="181"/>
      <c r="D118" s="181"/>
      <c r="E118" s="181"/>
      <c r="F118" s="181"/>
      <c r="G118" s="181"/>
      <c r="H118" s="181"/>
      <c r="I118" s="181"/>
      <c r="J118" s="181"/>
      <c r="K118" s="181"/>
      <c r="L118" s="181"/>
      <c r="M118" s="181"/>
      <c r="N118" s="181"/>
      <c r="O118" s="181"/>
    </row>
    <row r="119" spans="1:16" hidden="1" x14ac:dyDescent="0.25">
      <c r="C119" s="181">
        <f t="shared" ref="C119:N119" si="12">SUM(C114:C118)</f>
        <v>0</v>
      </c>
      <c r="D119" s="181"/>
      <c r="E119" s="181">
        <f t="shared" si="12"/>
        <v>0</v>
      </c>
      <c r="F119" s="181">
        <f t="shared" si="12"/>
        <v>0</v>
      </c>
      <c r="G119" s="181">
        <f t="shared" si="12"/>
        <v>0</v>
      </c>
      <c r="H119" s="181">
        <f t="shared" si="12"/>
        <v>0</v>
      </c>
      <c r="I119" s="181">
        <f t="shared" si="12"/>
        <v>0</v>
      </c>
      <c r="J119" s="181">
        <f t="shared" si="12"/>
        <v>0</v>
      </c>
      <c r="K119" s="181">
        <f t="shared" si="12"/>
        <v>0</v>
      </c>
      <c r="L119" s="181">
        <f t="shared" si="12"/>
        <v>0</v>
      </c>
      <c r="M119" s="181">
        <f t="shared" si="12"/>
        <v>0</v>
      </c>
      <c r="N119" s="181">
        <f t="shared" si="12"/>
        <v>0</v>
      </c>
      <c r="O119" s="181"/>
    </row>
    <row r="120" spans="1:16" hidden="1" x14ac:dyDescent="0.25">
      <c r="A120" s="182" t="s">
        <v>269</v>
      </c>
      <c r="C120" s="181"/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</row>
    <row r="121" spans="1:16" hidden="1" x14ac:dyDescent="0.25">
      <c r="B121" t="s">
        <v>268</v>
      </c>
      <c r="C121" s="181"/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</row>
    <row r="122" spans="1:16" hidden="1" x14ac:dyDescent="0.25">
      <c r="B122" t="s">
        <v>250</v>
      </c>
      <c r="C122" s="181"/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</row>
    <row r="123" spans="1:16" hidden="1" x14ac:dyDescent="0.25">
      <c r="B123" t="s">
        <v>251</v>
      </c>
      <c r="C123" s="181"/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</row>
    <row r="124" spans="1:16" hidden="1" x14ac:dyDescent="0.25">
      <c r="B124" t="s">
        <v>255</v>
      </c>
      <c r="C124" s="181"/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</row>
    <row r="125" spans="1:16" hidden="1" x14ac:dyDescent="0.25">
      <c r="C125" s="181">
        <f t="shared" ref="C125:N125" si="13">SUM(C120:C124)</f>
        <v>0</v>
      </c>
      <c r="D125" s="181"/>
      <c r="E125" s="181">
        <f t="shared" si="13"/>
        <v>0</v>
      </c>
      <c r="F125" s="181">
        <f t="shared" si="13"/>
        <v>0</v>
      </c>
      <c r="G125" s="181">
        <f t="shared" si="13"/>
        <v>0</v>
      </c>
      <c r="H125" s="181">
        <f t="shared" si="13"/>
        <v>0</v>
      </c>
      <c r="I125" s="181">
        <f t="shared" si="13"/>
        <v>0</v>
      </c>
      <c r="J125" s="181">
        <f t="shared" si="13"/>
        <v>0</v>
      </c>
      <c r="K125" s="181">
        <f t="shared" si="13"/>
        <v>0</v>
      </c>
      <c r="L125" s="181">
        <f t="shared" si="13"/>
        <v>0</v>
      </c>
      <c r="M125" s="181">
        <f t="shared" si="13"/>
        <v>0</v>
      </c>
      <c r="N125" s="181">
        <f t="shared" si="13"/>
        <v>0</v>
      </c>
      <c r="O125" s="181"/>
    </row>
    <row r="126" spans="1:16" x14ac:dyDescent="0.25">
      <c r="A126" s="182" t="s">
        <v>270</v>
      </c>
      <c r="C126" s="181"/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</row>
    <row r="127" spans="1:16" x14ac:dyDescent="0.25">
      <c r="B127" t="s">
        <v>260</v>
      </c>
      <c r="C127" s="181">
        <v>966.15</v>
      </c>
      <c r="D127" s="181"/>
      <c r="E127" s="181">
        <v>1768.13</v>
      </c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</row>
    <row r="128" spans="1:16" x14ac:dyDescent="0.25">
      <c r="B128" t="s">
        <v>255</v>
      </c>
      <c r="C128" s="181"/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</row>
    <row r="129" spans="1:16" x14ac:dyDescent="0.25">
      <c r="C129" s="181">
        <f>SUM(C126:C128)</f>
        <v>966.15</v>
      </c>
      <c r="D129" s="181">
        <f t="shared" ref="D129:N129" si="14">SUM(D126:D128)</f>
        <v>0</v>
      </c>
      <c r="E129" s="181">
        <f t="shared" si="14"/>
        <v>1768.13</v>
      </c>
      <c r="F129" s="181">
        <f t="shared" si="14"/>
        <v>0</v>
      </c>
      <c r="G129" s="181">
        <f t="shared" si="14"/>
        <v>0</v>
      </c>
      <c r="H129" s="181">
        <f t="shared" si="14"/>
        <v>0</v>
      </c>
      <c r="I129" s="181">
        <f t="shared" si="14"/>
        <v>0</v>
      </c>
      <c r="J129" s="181">
        <f t="shared" si="14"/>
        <v>0</v>
      </c>
      <c r="K129" s="181">
        <f t="shared" si="14"/>
        <v>0</v>
      </c>
      <c r="L129" s="181">
        <f t="shared" si="14"/>
        <v>0</v>
      </c>
      <c r="M129" s="181">
        <f t="shared" si="14"/>
        <v>0</v>
      </c>
      <c r="N129" s="181">
        <f t="shared" si="14"/>
        <v>0</v>
      </c>
      <c r="O129" s="181"/>
      <c r="P129" s="181"/>
    </row>
    <row r="130" spans="1:16" x14ac:dyDescent="0.25">
      <c r="A130" s="182" t="s">
        <v>271</v>
      </c>
      <c r="C130" s="181"/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</row>
    <row r="131" spans="1:16" x14ac:dyDescent="0.25">
      <c r="B131" t="s">
        <v>260</v>
      </c>
      <c r="C131" s="181">
        <v>1264.6099999999999</v>
      </c>
      <c r="D131" s="181"/>
      <c r="E131" s="181">
        <v>2437.38</v>
      </c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</row>
    <row r="132" spans="1:16" x14ac:dyDescent="0.25">
      <c r="B132" t="s">
        <v>255</v>
      </c>
      <c r="C132" s="181"/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</row>
    <row r="133" spans="1:16" x14ac:dyDescent="0.25">
      <c r="C133" s="181">
        <f>SUM(C130:C132)</f>
        <v>1264.6099999999999</v>
      </c>
      <c r="D133" s="181">
        <f t="shared" ref="D133:N133" si="15">SUM(D130:D132)</f>
        <v>0</v>
      </c>
      <c r="E133" s="181">
        <f t="shared" si="15"/>
        <v>2437.38</v>
      </c>
      <c r="F133" s="181">
        <f t="shared" si="15"/>
        <v>0</v>
      </c>
      <c r="G133" s="181">
        <f t="shared" si="15"/>
        <v>0</v>
      </c>
      <c r="H133" s="181">
        <f t="shared" si="15"/>
        <v>0</v>
      </c>
      <c r="I133" s="181">
        <f t="shared" si="15"/>
        <v>0</v>
      </c>
      <c r="J133" s="181">
        <f t="shared" si="15"/>
        <v>0</v>
      </c>
      <c r="K133" s="181">
        <f t="shared" si="15"/>
        <v>0</v>
      </c>
      <c r="L133" s="181">
        <f t="shared" si="15"/>
        <v>0</v>
      </c>
      <c r="M133" s="181">
        <f t="shared" si="15"/>
        <v>0</v>
      </c>
      <c r="N133" s="181">
        <f t="shared" si="15"/>
        <v>0</v>
      </c>
      <c r="O133" s="181"/>
      <c r="P133" s="181"/>
    </row>
    <row r="134" spans="1:16" x14ac:dyDescent="0.25">
      <c r="A134" s="182" t="s">
        <v>272</v>
      </c>
      <c r="C134" s="181"/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</row>
    <row r="135" spans="1:16" x14ac:dyDescent="0.25">
      <c r="B135" t="s">
        <v>273</v>
      </c>
      <c r="C135" s="181">
        <v>900</v>
      </c>
      <c r="D135" s="181"/>
      <c r="E135" s="181">
        <v>300</v>
      </c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</row>
    <row r="136" spans="1:16" x14ac:dyDescent="0.25">
      <c r="C136" s="181">
        <f>C135</f>
        <v>900</v>
      </c>
      <c r="D136" s="181">
        <f t="shared" ref="D136:N136" si="16">D135</f>
        <v>0</v>
      </c>
      <c r="E136" s="181">
        <f t="shared" si="16"/>
        <v>300</v>
      </c>
      <c r="F136" s="181">
        <f t="shared" si="16"/>
        <v>0</v>
      </c>
      <c r="G136" s="181">
        <f t="shared" si="16"/>
        <v>0</v>
      </c>
      <c r="H136" s="181">
        <f t="shared" si="16"/>
        <v>0</v>
      </c>
      <c r="I136" s="181">
        <f t="shared" si="16"/>
        <v>0</v>
      </c>
      <c r="J136" s="181">
        <f t="shared" si="16"/>
        <v>0</v>
      </c>
      <c r="K136" s="181">
        <f t="shared" si="16"/>
        <v>0</v>
      </c>
      <c r="L136" s="181">
        <f t="shared" si="16"/>
        <v>0</v>
      </c>
      <c r="M136" s="181">
        <f t="shared" si="16"/>
        <v>0</v>
      </c>
      <c r="N136" s="181">
        <f t="shared" si="16"/>
        <v>0</v>
      </c>
      <c r="O136" s="181"/>
      <c r="P136" s="181"/>
    </row>
    <row r="137" spans="1:16" hidden="1" x14ac:dyDescent="0.25">
      <c r="A137" s="182" t="s">
        <v>274</v>
      </c>
      <c r="C137" s="181"/>
      <c r="D137" s="181"/>
      <c r="E137" s="181"/>
      <c r="F137" s="181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</row>
    <row r="138" spans="1:16" hidden="1" x14ac:dyDescent="0.25">
      <c r="B138" t="s">
        <v>275</v>
      </c>
      <c r="C138" s="181"/>
      <c r="D138" s="181"/>
      <c r="E138" s="181"/>
      <c r="F138" s="181"/>
      <c r="G138" s="181"/>
      <c r="H138" s="181"/>
      <c r="I138" s="181"/>
      <c r="J138" s="181"/>
      <c r="K138" s="181"/>
      <c r="L138" s="181"/>
      <c r="M138" s="181"/>
      <c r="N138" s="181"/>
      <c r="O138" s="181"/>
      <c r="P138" s="181"/>
    </row>
    <row r="139" spans="1:16" hidden="1" x14ac:dyDescent="0.25">
      <c r="C139" s="181">
        <f>C138</f>
        <v>0</v>
      </c>
      <c r="D139" s="181">
        <f>D138</f>
        <v>0</v>
      </c>
      <c r="E139" s="181">
        <f>E138</f>
        <v>0</v>
      </c>
      <c r="F139" s="181">
        <f>F138</f>
        <v>0</v>
      </c>
      <c r="G139" s="181">
        <f t="shared" ref="G139:N139" si="17">G138</f>
        <v>0</v>
      </c>
      <c r="H139" s="181">
        <f t="shared" si="17"/>
        <v>0</v>
      </c>
      <c r="I139" s="181">
        <f t="shared" si="17"/>
        <v>0</v>
      </c>
      <c r="J139" s="181">
        <f t="shared" si="17"/>
        <v>0</v>
      </c>
      <c r="K139" s="181">
        <f t="shared" si="17"/>
        <v>0</v>
      </c>
      <c r="L139" s="181">
        <f t="shared" si="17"/>
        <v>0</v>
      </c>
      <c r="M139" s="181">
        <f t="shared" si="17"/>
        <v>0</v>
      </c>
      <c r="N139" s="181">
        <f t="shared" si="17"/>
        <v>0</v>
      </c>
      <c r="O139" s="181"/>
      <c r="P139" s="181"/>
    </row>
    <row r="140" spans="1:16" x14ac:dyDescent="0.25">
      <c r="A140" s="182" t="s">
        <v>276</v>
      </c>
      <c r="C140" s="181"/>
      <c r="D140" s="18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</row>
    <row r="141" spans="1:16" x14ac:dyDescent="0.25">
      <c r="B141" t="s">
        <v>277</v>
      </c>
      <c r="C141" s="181"/>
      <c r="D141" s="181"/>
      <c r="E141" s="181"/>
      <c r="F141" s="181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</row>
    <row r="142" spans="1:16" x14ac:dyDescent="0.25">
      <c r="B142" t="s">
        <v>255</v>
      </c>
      <c r="C142" s="181"/>
      <c r="D142" s="181"/>
      <c r="E142" s="181"/>
      <c r="F142" s="181"/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</row>
    <row r="143" spans="1:16" x14ac:dyDescent="0.25">
      <c r="C143" s="181">
        <f>SUM(C140:C142)</f>
        <v>0</v>
      </c>
      <c r="D143" s="181">
        <f t="shared" ref="D143:N143" si="18">SUM(D140:D142)</f>
        <v>0</v>
      </c>
      <c r="E143" s="181">
        <f t="shared" si="18"/>
        <v>0</v>
      </c>
      <c r="F143" s="181">
        <f t="shared" si="18"/>
        <v>0</v>
      </c>
      <c r="G143" s="181">
        <f t="shared" si="18"/>
        <v>0</v>
      </c>
      <c r="H143" s="181">
        <f t="shared" si="18"/>
        <v>0</v>
      </c>
      <c r="I143" s="181">
        <f t="shared" si="18"/>
        <v>0</v>
      </c>
      <c r="J143" s="181">
        <f t="shared" si="18"/>
        <v>0</v>
      </c>
      <c r="K143" s="181">
        <f t="shared" si="18"/>
        <v>0</v>
      </c>
      <c r="L143" s="181">
        <f t="shared" si="18"/>
        <v>0</v>
      </c>
      <c r="M143" s="181">
        <f t="shared" si="18"/>
        <v>0</v>
      </c>
      <c r="N143" s="181">
        <f t="shared" si="18"/>
        <v>0</v>
      </c>
      <c r="O143" s="181"/>
      <c r="P143" s="181"/>
    </row>
    <row r="144" spans="1:16" hidden="1" x14ac:dyDescent="0.25">
      <c r="A144" s="182" t="s">
        <v>278</v>
      </c>
      <c r="C144" s="181"/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</row>
    <row r="145" spans="1:16" hidden="1" x14ac:dyDescent="0.25">
      <c r="B145" t="s">
        <v>277</v>
      </c>
      <c r="C145" s="181"/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</row>
    <row r="146" spans="1:16" hidden="1" x14ac:dyDescent="0.25">
      <c r="B146" t="s">
        <v>255</v>
      </c>
      <c r="C146" s="181"/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</row>
    <row r="147" spans="1:16" hidden="1" x14ac:dyDescent="0.25">
      <c r="C147" s="181">
        <f>SUM(C144:C146)</f>
        <v>0</v>
      </c>
      <c r="D147" s="181"/>
      <c r="E147" s="181">
        <f t="shared" ref="E147:N147" si="19">SUM(E144:E146)</f>
        <v>0</v>
      </c>
      <c r="F147" s="181">
        <f t="shared" si="19"/>
        <v>0</v>
      </c>
      <c r="G147" s="181">
        <f t="shared" si="19"/>
        <v>0</v>
      </c>
      <c r="H147" s="181">
        <f t="shared" si="19"/>
        <v>0</v>
      </c>
      <c r="I147" s="181">
        <f t="shared" si="19"/>
        <v>0</v>
      </c>
      <c r="J147" s="181">
        <f t="shared" si="19"/>
        <v>0</v>
      </c>
      <c r="K147" s="181">
        <f t="shared" si="19"/>
        <v>0</v>
      </c>
      <c r="L147" s="181">
        <f t="shared" si="19"/>
        <v>0</v>
      </c>
      <c r="M147" s="181">
        <f t="shared" si="19"/>
        <v>0</v>
      </c>
      <c r="N147" s="181">
        <f t="shared" si="19"/>
        <v>0</v>
      </c>
      <c r="O147" s="181"/>
      <c r="P147" s="181"/>
    </row>
    <row r="148" spans="1:16" hidden="1" x14ac:dyDescent="0.25">
      <c r="A148" s="182" t="s">
        <v>279</v>
      </c>
      <c r="C148" s="181"/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</row>
    <row r="149" spans="1:16" hidden="1" x14ac:dyDescent="0.25">
      <c r="B149" t="s">
        <v>277</v>
      </c>
      <c r="C149" s="181"/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</row>
    <row r="150" spans="1:16" hidden="1" x14ac:dyDescent="0.25">
      <c r="B150" t="s">
        <v>255</v>
      </c>
      <c r="C150" s="181"/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</row>
    <row r="151" spans="1:16" hidden="1" x14ac:dyDescent="0.25">
      <c r="C151" s="181">
        <f>SUM(C148:C150)</f>
        <v>0</v>
      </c>
      <c r="D151" s="181">
        <f t="shared" ref="D151:N151" si="20">SUM(D148:D150)</f>
        <v>0</v>
      </c>
      <c r="E151" s="181">
        <f t="shared" si="20"/>
        <v>0</v>
      </c>
      <c r="F151" s="181">
        <f t="shared" si="20"/>
        <v>0</v>
      </c>
      <c r="G151" s="181">
        <f t="shared" si="20"/>
        <v>0</v>
      </c>
      <c r="H151" s="181">
        <f t="shared" si="20"/>
        <v>0</v>
      </c>
      <c r="I151" s="181">
        <f t="shared" si="20"/>
        <v>0</v>
      </c>
      <c r="J151" s="181">
        <f t="shared" si="20"/>
        <v>0</v>
      </c>
      <c r="K151" s="181">
        <f t="shared" si="20"/>
        <v>0</v>
      </c>
      <c r="L151" s="181">
        <f t="shared" si="20"/>
        <v>0</v>
      </c>
      <c r="M151" s="181">
        <f t="shared" si="20"/>
        <v>0</v>
      </c>
      <c r="N151" s="181">
        <f t="shared" si="20"/>
        <v>0</v>
      </c>
      <c r="O151" s="181"/>
      <c r="P151" s="181"/>
    </row>
    <row r="152" spans="1:16" x14ac:dyDescent="0.25">
      <c r="C152" s="181"/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</row>
    <row r="153" spans="1:16" x14ac:dyDescent="0.25">
      <c r="A153" s="182" t="s">
        <v>291</v>
      </c>
      <c r="C153" s="181">
        <f>C20+C143</f>
        <v>2421.2600000000002</v>
      </c>
      <c r="D153" s="181">
        <f t="shared" ref="D153:N153" si="21">D20+D143</f>
        <v>0</v>
      </c>
      <c r="E153" s="181">
        <f t="shared" si="21"/>
        <v>2843.26</v>
      </c>
      <c r="F153" s="181">
        <f t="shared" si="21"/>
        <v>0</v>
      </c>
      <c r="G153" s="181">
        <f t="shared" si="21"/>
        <v>0</v>
      </c>
      <c r="H153" s="181">
        <f t="shared" si="21"/>
        <v>0</v>
      </c>
      <c r="I153" s="181">
        <f t="shared" si="21"/>
        <v>0</v>
      </c>
      <c r="J153" s="181">
        <f t="shared" si="21"/>
        <v>0</v>
      </c>
      <c r="K153" s="181">
        <f t="shared" si="21"/>
        <v>0</v>
      </c>
      <c r="L153" s="181">
        <f t="shared" si="21"/>
        <v>0</v>
      </c>
      <c r="M153" s="181">
        <f t="shared" si="21"/>
        <v>0</v>
      </c>
      <c r="N153" s="181">
        <f t="shared" si="21"/>
        <v>0</v>
      </c>
      <c r="O153" s="181"/>
      <c r="P153" s="181"/>
    </row>
    <row r="154" spans="1:16" x14ac:dyDescent="0.25">
      <c r="C154" s="181"/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</row>
    <row r="155" spans="1:16" x14ac:dyDescent="0.25">
      <c r="A155" s="182" t="s">
        <v>289</v>
      </c>
      <c r="C155" s="181">
        <f>C136+(C153*$B156)</f>
        <v>2110.63</v>
      </c>
      <c r="D155" s="181">
        <f t="shared" ref="D155:N155" si="22">D136+(D153*$B156)</f>
        <v>0</v>
      </c>
      <c r="E155" s="181">
        <f>E136+(E153*$B156)</f>
        <v>1721.63</v>
      </c>
      <c r="F155" s="181">
        <f t="shared" si="22"/>
        <v>0</v>
      </c>
      <c r="G155" s="181">
        <f t="shared" si="22"/>
        <v>0</v>
      </c>
      <c r="H155" s="181">
        <f t="shared" si="22"/>
        <v>0</v>
      </c>
      <c r="I155" s="181">
        <f t="shared" si="22"/>
        <v>0</v>
      </c>
      <c r="J155" s="181">
        <f t="shared" si="22"/>
        <v>0</v>
      </c>
      <c r="K155" s="181">
        <f t="shared" si="22"/>
        <v>0</v>
      </c>
      <c r="L155" s="181">
        <f t="shared" si="22"/>
        <v>0</v>
      </c>
      <c r="M155" s="181">
        <f t="shared" si="22"/>
        <v>0</v>
      </c>
      <c r="N155" s="181">
        <f t="shared" si="22"/>
        <v>0</v>
      </c>
      <c r="O155" s="181"/>
      <c r="P155" s="181"/>
    </row>
    <row r="156" spans="1:16" x14ac:dyDescent="0.25">
      <c r="B156" s="194">
        <v>0.5</v>
      </c>
      <c r="C156" s="181"/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</row>
    <row r="157" spans="1:16" x14ac:dyDescent="0.25">
      <c r="A157" s="182" t="s">
        <v>290</v>
      </c>
      <c r="C157" s="181">
        <f>C39+C49+C59+C90+C100+C109+C113+C129+C133+(C153*$B158)</f>
        <v>15415.260000000002</v>
      </c>
      <c r="D157" s="181">
        <f t="shared" ref="D157:N157" si="23">D39+D49+D59+D90+D100+D109+D113+D129+D133+(D153*$B158)</f>
        <v>4927.0599999999995</v>
      </c>
      <c r="E157" s="181">
        <f>E39+E49+E59+E90+E100+E109+E113+E129+E133+(E153*$B158)</f>
        <v>21049.520000000004</v>
      </c>
      <c r="F157" s="181">
        <f t="shared" si="23"/>
        <v>0</v>
      </c>
      <c r="G157" s="181">
        <f t="shared" si="23"/>
        <v>0</v>
      </c>
      <c r="H157" s="181">
        <f t="shared" si="23"/>
        <v>0</v>
      </c>
      <c r="I157" s="181">
        <f t="shared" si="23"/>
        <v>0</v>
      </c>
      <c r="J157" s="181">
        <f t="shared" si="23"/>
        <v>0</v>
      </c>
      <c r="K157" s="181">
        <f t="shared" si="23"/>
        <v>0</v>
      </c>
      <c r="L157" s="181">
        <f t="shared" si="23"/>
        <v>0</v>
      </c>
      <c r="M157" s="181">
        <f t="shared" si="23"/>
        <v>0</v>
      </c>
      <c r="N157" s="181">
        <f t="shared" si="23"/>
        <v>0</v>
      </c>
      <c r="O157" s="181"/>
      <c r="P157" s="181"/>
    </row>
    <row r="158" spans="1:16" x14ac:dyDescent="0.25">
      <c r="B158" s="194">
        <v>0.5</v>
      </c>
      <c r="C158" s="181"/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</row>
    <row r="159" spans="1:16" x14ac:dyDescent="0.25">
      <c r="B159" t="s">
        <v>280</v>
      </c>
      <c r="C159" s="181">
        <f t="shared" ref="C159:D159" si="24">C151+C147+C143+C125+C39+C49+C59+C69+C113+C129+C133+C29+C20+C10+C119+C80+C90+C100+C109+C136+C139</f>
        <v>17525.89</v>
      </c>
      <c r="D159" s="181">
        <f t="shared" si="24"/>
        <v>4927.0599999999995</v>
      </c>
      <c r="E159" s="181">
        <f>E151+E147+E143+E125+E39+E49+E59+E69+E113+E129+E133+E29+E20+E10+E119+E80+E90+E100+E109+E136+E139</f>
        <v>22771.150000000005</v>
      </c>
      <c r="F159" s="181">
        <f t="shared" ref="F159:N159" si="25">F151+F147+F143+F125+F39+F49+F59+F69+F113+F129+F133+F29+F20+F10+F119+F80+F90+F100+F109+F136+F139</f>
        <v>0</v>
      </c>
      <c r="G159" s="181">
        <f t="shared" si="25"/>
        <v>0</v>
      </c>
      <c r="H159" s="181">
        <f t="shared" si="25"/>
        <v>0</v>
      </c>
      <c r="I159" s="181">
        <f t="shared" si="25"/>
        <v>0</v>
      </c>
      <c r="J159" s="181">
        <f t="shared" si="25"/>
        <v>0</v>
      </c>
      <c r="K159" s="181">
        <f t="shared" si="25"/>
        <v>0</v>
      </c>
      <c r="L159" s="181">
        <f t="shared" si="25"/>
        <v>0</v>
      </c>
      <c r="M159" s="181">
        <f t="shared" si="25"/>
        <v>0</v>
      </c>
      <c r="N159" s="181">
        <f t="shared" si="25"/>
        <v>0</v>
      </c>
      <c r="O159" s="181"/>
      <c r="P159" s="181"/>
    </row>
    <row r="160" spans="1:16" x14ac:dyDescent="0.25">
      <c r="C160" s="181"/>
      <c r="D160" s="181"/>
      <c r="E160" s="181"/>
      <c r="F160" s="181"/>
      <c r="G160" s="181"/>
      <c r="H160" s="181"/>
      <c r="I160" s="181"/>
      <c r="J160" s="181"/>
      <c r="K160" s="181"/>
      <c r="L160" s="181"/>
      <c r="M160" s="181"/>
      <c r="N160" s="181"/>
      <c r="O160" s="181"/>
      <c r="P160" s="181"/>
    </row>
    <row r="161" spans="2:16" x14ac:dyDescent="0.25">
      <c r="C161" s="181"/>
      <c r="D161" s="181"/>
      <c r="E161" s="181"/>
      <c r="F161" s="181"/>
      <c r="G161" s="181"/>
      <c r="H161" s="181"/>
      <c r="I161" s="181"/>
      <c r="J161" s="181"/>
      <c r="K161" s="181"/>
      <c r="L161" s="181"/>
      <c r="M161" s="181"/>
      <c r="N161" s="181"/>
      <c r="O161" s="181"/>
      <c r="P161" s="181"/>
    </row>
    <row r="162" spans="2:16" x14ac:dyDescent="0.25">
      <c r="C162" s="181" t="s">
        <v>251</v>
      </c>
      <c r="D162" s="181" t="s">
        <v>250</v>
      </c>
      <c r="E162" s="181"/>
      <c r="F162" s="181" t="s">
        <v>281</v>
      </c>
      <c r="G162" s="181" t="s">
        <v>282</v>
      </c>
      <c r="H162" s="181" t="s">
        <v>283</v>
      </c>
      <c r="I162" s="181"/>
      <c r="J162" s="181"/>
      <c r="K162" s="181"/>
      <c r="L162" s="181"/>
      <c r="M162" s="181"/>
      <c r="N162" s="181"/>
      <c r="O162" s="181"/>
      <c r="P162" s="181"/>
    </row>
    <row r="163" spans="2:16" x14ac:dyDescent="0.25">
      <c r="B163" t="s">
        <v>284</v>
      </c>
      <c r="C163" s="181">
        <v>15.81</v>
      </c>
      <c r="D163" s="181">
        <v>22</v>
      </c>
      <c r="E163" s="181">
        <v>37.81</v>
      </c>
      <c r="F163" s="181">
        <v>316.2</v>
      </c>
      <c r="G163" s="181">
        <v>440</v>
      </c>
      <c r="H163" s="181">
        <v>1213.0899999999999</v>
      </c>
      <c r="I163" s="181"/>
      <c r="J163" s="181"/>
      <c r="K163" s="181"/>
      <c r="L163" s="181"/>
      <c r="M163" s="181"/>
      <c r="N163" s="181"/>
      <c r="O163" s="181"/>
      <c r="P163" s="181"/>
    </row>
    <row r="164" spans="2:16" x14ac:dyDescent="0.25">
      <c r="B164" t="s">
        <v>285</v>
      </c>
      <c r="C164" s="181">
        <v>20</v>
      </c>
      <c r="D164" s="181">
        <v>22</v>
      </c>
      <c r="E164" s="181">
        <v>31.4</v>
      </c>
      <c r="F164" s="181">
        <v>188</v>
      </c>
      <c r="G164" s="181">
        <v>440</v>
      </c>
      <c r="H164" s="181">
        <v>1926.42</v>
      </c>
      <c r="I164" s="181"/>
      <c r="J164" s="181"/>
      <c r="K164" s="181"/>
      <c r="L164" s="181"/>
      <c r="M164" s="181"/>
      <c r="N164" s="181"/>
      <c r="O164" s="181"/>
      <c r="P164" s="181"/>
    </row>
    <row r="165" spans="2:16" x14ac:dyDescent="0.25">
      <c r="B165" t="s">
        <v>286</v>
      </c>
      <c r="C165" s="181">
        <v>200</v>
      </c>
      <c r="D165" s="181">
        <v>22</v>
      </c>
      <c r="E165" s="181"/>
      <c r="F165" s="181">
        <v>200</v>
      </c>
      <c r="G165" s="181">
        <v>440</v>
      </c>
      <c r="H165" s="181">
        <v>1213.0899999999999</v>
      </c>
      <c r="I165" s="181"/>
      <c r="J165" s="181"/>
      <c r="K165" s="181"/>
      <c r="L165" s="181"/>
      <c r="M165" s="181"/>
      <c r="N165" s="181"/>
      <c r="O165" s="181"/>
      <c r="P165" s="181"/>
    </row>
    <row r="166" spans="2:16" x14ac:dyDescent="0.25">
      <c r="B166" t="s">
        <v>287</v>
      </c>
      <c r="C166" s="181"/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</row>
    <row r="167" spans="2:16" x14ac:dyDescent="0.25">
      <c r="B167" t="s">
        <v>288</v>
      </c>
      <c r="C167" s="181"/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</row>
    <row r="168" spans="2:16" x14ac:dyDescent="0.25">
      <c r="C168" s="181"/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</row>
    <row r="169" spans="2:16" x14ac:dyDescent="0.25">
      <c r="C169" s="181"/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</row>
    <row r="170" spans="2:16" x14ac:dyDescent="0.25">
      <c r="C170" s="181"/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</row>
    <row r="171" spans="2:16" x14ac:dyDescent="0.25">
      <c r="C171" s="181"/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</row>
    <row r="172" spans="2:16" x14ac:dyDescent="0.25">
      <c r="C172" s="181"/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</row>
    <row r="173" spans="2:16" x14ac:dyDescent="0.25">
      <c r="C173" s="181"/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</row>
    <row r="174" spans="2:16" x14ac:dyDescent="0.25">
      <c r="C174" s="181"/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</row>
    <row r="175" spans="2:16" x14ac:dyDescent="0.25">
      <c r="C175" s="181"/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</row>
    <row r="176" spans="2:16" x14ac:dyDescent="0.25">
      <c r="C176" s="181"/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</row>
    <row r="177" spans="2:16" x14ac:dyDescent="0.25">
      <c r="C177" s="181"/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</row>
    <row r="178" spans="2:16" x14ac:dyDescent="0.25">
      <c r="C178" s="181"/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</row>
    <row r="179" spans="2:16" x14ac:dyDescent="0.25">
      <c r="B179" s="142"/>
      <c r="C179" s="181"/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</row>
    <row r="180" spans="2:16" x14ac:dyDescent="0.25">
      <c r="C180" s="181"/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</row>
    <row r="181" spans="2:16" x14ac:dyDescent="0.25">
      <c r="C181" s="181"/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</row>
    <row r="182" spans="2:16" x14ac:dyDescent="0.25">
      <c r="C182" s="181"/>
      <c r="D182" s="181"/>
      <c r="E182" s="181"/>
      <c r="F182" s="181"/>
      <c r="G182" s="181"/>
      <c r="H182" s="181"/>
      <c r="I182" s="181"/>
      <c r="J182" s="181"/>
      <c r="K182" s="181"/>
      <c r="L182" s="181"/>
      <c r="M182" s="181"/>
      <c r="N182" s="181"/>
      <c r="O182" s="181"/>
      <c r="P182" s="181"/>
    </row>
    <row r="183" spans="2:16" x14ac:dyDescent="0.25">
      <c r="C183" s="181"/>
      <c r="D183" s="181"/>
      <c r="E183" s="181"/>
      <c r="F183" s="181"/>
      <c r="G183" s="181"/>
      <c r="H183" s="181"/>
      <c r="I183" s="181"/>
      <c r="J183" s="181"/>
      <c r="K183" s="181"/>
      <c r="L183" s="181"/>
      <c r="M183" s="181"/>
      <c r="N183" s="181"/>
      <c r="O183" s="181"/>
      <c r="P183" s="181"/>
    </row>
    <row r="184" spans="2:16" x14ac:dyDescent="0.25">
      <c r="C184" s="181"/>
      <c r="D184" s="181"/>
      <c r="E184" s="181"/>
      <c r="F184" s="181"/>
      <c r="G184" s="181"/>
      <c r="H184" s="181"/>
      <c r="I184" s="181"/>
      <c r="J184" s="181"/>
      <c r="K184" s="181"/>
      <c r="L184" s="181"/>
      <c r="M184" s="181"/>
      <c r="N184" s="181"/>
      <c r="O184" s="181"/>
      <c r="P184" s="181"/>
    </row>
    <row r="185" spans="2:16" x14ac:dyDescent="0.25">
      <c r="C185" s="181"/>
      <c r="D185" s="181"/>
      <c r="E185" s="181"/>
      <c r="F185" s="181"/>
      <c r="G185" s="181"/>
      <c r="H185" s="181"/>
      <c r="I185" s="181"/>
      <c r="J185" s="181"/>
      <c r="K185" s="181"/>
      <c r="L185" s="181"/>
      <c r="M185" s="181"/>
      <c r="N185" s="181"/>
      <c r="O185" s="181"/>
      <c r="P185" s="181"/>
    </row>
    <row r="186" spans="2:16" x14ac:dyDescent="0.25">
      <c r="C186" s="181"/>
      <c r="D186" s="181"/>
      <c r="E186" s="181"/>
      <c r="F186" s="181"/>
      <c r="G186" s="181"/>
      <c r="H186" s="181"/>
      <c r="I186" s="181"/>
      <c r="J186" s="181"/>
      <c r="K186" s="181"/>
      <c r="L186" s="181"/>
      <c r="M186" s="181"/>
      <c r="N186" s="181"/>
      <c r="O186" s="181"/>
      <c r="P186" s="181"/>
    </row>
    <row r="187" spans="2:16" x14ac:dyDescent="0.25">
      <c r="C187" s="181"/>
      <c r="D187" s="181"/>
      <c r="E187" s="181"/>
      <c r="F187" s="181"/>
      <c r="G187" s="181"/>
      <c r="H187" s="181"/>
      <c r="I187" s="181"/>
      <c r="J187" s="181"/>
      <c r="K187" s="181"/>
      <c r="L187" s="181"/>
      <c r="M187" s="181"/>
      <c r="N187" s="181"/>
      <c r="O187" s="181"/>
      <c r="P187" s="181"/>
    </row>
    <row r="188" spans="2:16" x14ac:dyDescent="0.25">
      <c r="C188" s="181"/>
      <c r="D188" s="181"/>
      <c r="E188" s="181"/>
      <c r="F188" s="181"/>
      <c r="G188" s="181"/>
      <c r="H188" s="181"/>
      <c r="I188" s="181"/>
      <c r="J188" s="181"/>
      <c r="K188" s="181"/>
      <c r="L188" s="181"/>
      <c r="M188" s="181"/>
      <c r="N188" s="181"/>
      <c r="O188" s="181"/>
      <c r="P188" s="181"/>
    </row>
    <row r="189" spans="2:16" x14ac:dyDescent="0.25">
      <c r="C189" s="181"/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</row>
    <row r="190" spans="2:16" x14ac:dyDescent="0.25">
      <c r="C190" s="181"/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</row>
    <row r="191" spans="2:16" x14ac:dyDescent="0.25">
      <c r="C191" s="181"/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</row>
    <row r="192" spans="2:16" x14ac:dyDescent="0.25">
      <c r="C192" s="181"/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</row>
    <row r="193" spans="3:16" x14ac:dyDescent="0.25">
      <c r="C193" s="181"/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</row>
    <row r="194" spans="3:16" x14ac:dyDescent="0.25">
      <c r="C194" s="181"/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</row>
    <row r="195" spans="3:16" x14ac:dyDescent="0.25">
      <c r="C195" s="181"/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</row>
    <row r="196" spans="3:16" x14ac:dyDescent="0.25"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</row>
    <row r="197" spans="3:16" x14ac:dyDescent="0.25">
      <c r="C197" s="181"/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</row>
    <row r="198" spans="3:16" x14ac:dyDescent="0.25">
      <c r="C198" s="181"/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</row>
    <row r="199" spans="3:16" x14ac:dyDescent="0.25">
      <c r="C199" s="181"/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</row>
    <row r="200" spans="3:16" x14ac:dyDescent="0.25">
      <c r="C200" s="181"/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</row>
    <row r="201" spans="3:16" x14ac:dyDescent="0.25">
      <c r="C201" s="181"/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</row>
    <row r="202" spans="3:16" x14ac:dyDescent="0.25">
      <c r="C202" s="181"/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</row>
    <row r="203" spans="3:16" x14ac:dyDescent="0.25">
      <c r="C203" s="181"/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</row>
    <row r="204" spans="3:16" x14ac:dyDescent="0.25">
      <c r="C204" s="181"/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</row>
    <row r="205" spans="3:16" x14ac:dyDescent="0.25">
      <c r="C205" s="181"/>
      <c r="D205" s="181"/>
      <c r="E205" s="181"/>
      <c r="F205" s="181"/>
      <c r="G205" s="181"/>
      <c r="H205" s="181"/>
      <c r="I205" s="181"/>
      <c r="J205" s="181"/>
      <c r="K205" s="181"/>
      <c r="L205" s="181"/>
      <c r="M205" s="181"/>
      <c r="N205" s="181"/>
      <c r="O205" s="181"/>
      <c r="P205" s="181"/>
    </row>
    <row r="206" spans="3:16" x14ac:dyDescent="0.25">
      <c r="C206" s="181"/>
      <c r="D206" s="181"/>
      <c r="E206" s="181"/>
      <c r="F206" s="181"/>
      <c r="G206" s="181"/>
      <c r="H206" s="181"/>
      <c r="I206" s="181"/>
      <c r="J206" s="181"/>
      <c r="K206" s="181"/>
      <c r="L206" s="181"/>
      <c r="M206" s="181"/>
      <c r="N206" s="181"/>
      <c r="O206" s="181"/>
      <c r="P206" s="181"/>
    </row>
    <row r="207" spans="3:16" x14ac:dyDescent="0.25">
      <c r="C207" s="181"/>
      <c r="D207" s="181"/>
      <c r="E207" s="181"/>
      <c r="F207" s="181"/>
      <c r="G207" s="181"/>
      <c r="H207" s="181"/>
      <c r="I207" s="181"/>
      <c r="J207" s="181"/>
      <c r="K207" s="181"/>
      <c r="L207" s="181"/>
      <c r="M207" s="181"/>
      <c r="N207" s="181"/>
      <c r="O207" s="181"/>
      <c r="P207" s="181"/>
    </row>
    <row r="208" spans="3:16" x14ac:dyDescent="0.25">
      <c r="C208" s="181"/>
      <c r="D208" s="181"/>
      <c r="E208" s="181"/>
      <c r="F208" s="181"/>
      <c r="G208" s="181"/>
      <c r="H208" s="181"/>
      <c r="I208" s="181"/>
      <c r="J208" s="181"/>
      <c r="K208" s="181"/>
      <c r="L208" s="181"/>
      <c r="M208" s="181"/>
      <c r="N208" s="181"/>
      <c r="O208" s="181"/>
      <c r="P208" s="181"/>
    </row>
    <row r="209" spans="3:16" x14ac:dyDescent="0.25">
      <c r="C209" s="181"/>
      <c r="D209" s="181"/>
      <c r="E209" s="181"/>
      <c r="F209" s="181"/>
      <c r="G209" s="181"/>
      <c r="H209" s="181"/>
      <c r="I209" s="181"/>
      <c r="J209" s="181"/>
      <c r="K209" s="181"/>
      <c r="L209" s="181"/>
      <c r="M209" s="181"/>
      <c r="N209" s="181"/>
      <c r="O209" s="181"/>
      <c r="P209" s="181"/>
    </row>
    <row r="210" spans="3:16" x14ac:dyDescent="0.25">
      <c r="C210" s="181"/>
      <c r="D210" s="181"/>
      <c r="E210" s="181"/>
      <c r="F210" s="181"/>
      <c r="G210" s="181"/>
      <c r="H210" s="181"/>
      <c r="I210" s="181"/>
      <c r="J210" s="181"/>
      <c r="K210" s="181"/>
      <c r="L210" s="181"/>
      <c r="M210" s="181"/>
      <c r="N210" s="181"/>
      <c r="O210" s="181"/>
      <c r="P210" s="181"/>
    </row>
    <row r="211" spans="3:16" x14ac:dyDescent="0.25">
      <c r="C211" s="181"/>
      <c r="D211" s="181"/>
      <c r="E211" s="181"/>
      <c r="F211" s="181"/>
      <c r="G211" s="181"/>
      <c r="H211" s="181"/>
      <c r="I211" s="181"/>
      <c r="J211" s="181"/>
      <c r="K211" s="181"/>
      <c r="L211" s="181"/>
      <c r="M211" s="181"/>
      <c r="N211" s="181"/>
      <c r="O211" s="181"/>
      <c r="P211" s="181"/>
    </row>
    <row r="212" spans="3:16" x14ac:dyDescent="0.25">
      <c r="C212" s="181"/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</row>
    <row r="213" spans="3:16" x14ac:dyDescent="0.25">
      <c r="C213" s="181"/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</row>
    <row r="214" spans="3:16" x14ac:dyDescent="0.25">
      <c r="C214" s="181"/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</row>
    <row r="215" spans="3:16" x14ac:dyDescent="0.25">
      <c r="C215" s="181"/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</row>
    <row r="216" spans="3:16" x14ac:dyDescent="0.25">
      <c r="C216" s="181"/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</row>
    <row r="217" spans="3:16" x14ac:dyDescent="0.25">
      <c r="C217" s="181"/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</row>
    <row r="218" spans="3:16" x14ac:dyDescent="0.25">
      <c r="C218" s="181"/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</row>
    <row r="219" spans="3:16" x14ac:dyDescent="0.25">
      <c r="C219" s="181"/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</row>
    <row r="220" spans="3:16" x14ac:dyDescent="0.25">
      <c r="C220" s="181"/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</row>
    <row r="221" spans="3:16" x14ac:dyDescent="0.25">
      <c r="C221" s="181"/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</row>
    <row r="222" spans="3:16" x14ac:dyDescent="0.25">
      <c r="C222" s="181"/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</row>
    <row r="223" spans="3:16" x14ac:dyDescent="0.25">
      <c r="C223" s="181"/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</row>
    <row r="224" spans="3:16" x14ac:dyDescent="0.25">
      <c r="C224" s="181"/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</row>
    <row r="225" spans="3:16" x14ac:dyDescent="0.25">
      <c r="C225" s="181"/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</row>
    <row r="226" spans="3:16" x14ac:dyDescent="0.25">
      <c r="C226" s="181"/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</row>
    <row r="227" spans="3:16" x14ac:dyDescent="0.25">
      <c r="C227" s="181"/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</row>
    <row r="228" spans="3:16" x14ac:dyDescent="0.25">
      <c r="C228" s="181"/>
      <c r="D228" s="181"/>
      <c r="E228" s="181"/>
      <c r="F228" s="181"/>
      <c r="G228" s="181"/>
      <c r="H228" s="181"/>
      <c r="I228" s="181"/>
      <c r="J228" s="181"/>
      <c r="K228" s="181"/>
      <c r="L228" s="181"/>
      <c r="M228" s="181"/>
      <c r="N228" s="181"/>
      <c r="O228" s="181"/>
      <c r="P228" s="181"/>
    </row>
    <row r="229" spans="3:16" x14ac:dyDescent="0.25">
      <c r="C229" s="181"/>
      <c r="D229" s="181"/>
      <c r="E229" s="181"/>
      <c r="F229" s="181"/>
      <c r="G229" s="181"/>
      <c r="H229" s="181"/>
      <c r="I229" s="181"/>
      <c r="J229" s="181"/>
      <c r="K229" s="181"/>
      <c r="L229" s="181"/>
      <c r="M229" s="181"/>
      <c r="N229" s="181"/>
      <c r="O229" s="181"/>
      <c r="P229" s="181"/>
    </row>
    <row r="230" spans="3:16" x14ac:dyDescent="0.25">
      <c r="C230" s="181"/>
      <c r="D230" s="181"/>
      <c r="E230" s="181"/>
      <c r="F230" s="181"/>
      <c r="G230" s="181"/>
      <c r="H230" s="181"/>
      <c r="I230" s="181"/>
      <c r="J230" s="181"/>
      <c r="K230" s="181"/>
      <c r="L230" s="181"/>
      <c r="M230" s="181"/>
      <c r="N230" s="181"/>
      <c r="O230" s="181"/>
      <c r="P230" s="181"/>
    </row>
    <row r="231" spans="3:16" x14ac:dyDescent="0.25">
      <c r="C231" s="181"/>
      <c r="D231" s="181"/>
      <c r="E231" s="181"/>
      <c r="F231" s="181"/>
      <c r="G231" s="181"/>
      <c r="H231" s="181"/>
      <c r="I231" s="181"/>
      <c r="J231" s="181"/>
      <c r="K231" s="181"/>
      <c r="L231" s="181"/>
      <c r="M231" s="181"/>
      <c r="N231" s="181"/>
      <c r="O231" s="181"/>
      <c r="P231" s="181"/>
    </row>
    <row r="232" spans="3:16" x14ac:dyDescent="0.25">
      <c r="C232" s="181"/>
      <c r="D232" s="181"/>
      <c r="E232" s="181"/>
      <c r="F232" s="181"/>
      <c r="G232" s="181"/>
      <c r="H232" s="181"/>
      <c r="I232" s="181"/>
      <c r="J232" s="181"/>
      <c r="K232" s="181"/>
      <c r="L232" s="181"/>
      <c r="M232" s="181"/>
      <c r="N232" s="181"/>
      <c r="O232" s="181"/>
      <c r="P232" s="181"/>
    </row>
    <row r="233" spans="3:16" x14ac:dyDescent="0.25">
      <c r="C233" s="181"/>
      <c r="D233" s="181"/>
      <c r="E233" s="181"/>
      <c r="F233" s="181"/>
      <c r="G233" s="181"/>
      <c r="H233" s="181"/>
      <c r="I233" s="181"/>
      <c r="J233" s="181"/>
      <c r="K233" s="181"/>
      <c r="L233" s="181"/>
      <c r="M233" s="181"/>
      <c r="N233" s="181"/>
      <c r="O233" s="181"/>
      <c r="P233" s="181"/>
    </row>
    <row r="234" spans="3:16" x14ac:dyDescent="0.25">
      <c r="C234" s="181"/>
      <c r="D234" s="181"/>
      <c r="E234" s="181"/>
      <c r="F234" s="181"/>
      <c r="G234" s="181"/>
      <c r="H234" s="181"/>
      <c r="I234" s="181"/>
      <c r="J234" s="181"/>
      <c r="K234" s="181"/>
      <c r="L234" s="181"/>
      <c r="M234" s="181"/>
      <c r="N234" s="181"/>
      <c r="O234" s="181"/>
      <c r="P234" s="181"/>
    </row>
    <row r="235" spans="3:16" x14ac:dyDescent="0.25">
      <c r="C235" s="181"/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</row>
    <row r="236" spans="3:16" x14ac:dyDescent="0.25">
      <c r="C236" s="181"/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</row>
    <row r="237" spans="3:16" x14ac:dyDescent="0.25">
      <c r="C237" s="181"/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</row>
    <row r="238" spans="3:16" x14ac:dyDescent="0.25">
      <c r="C238" s="181"/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</row>
    <row r="239" spans="3:16" x14ac:dyDescent="0.25">
      <c r="C239" s="181"/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</row>
    <row r="240" spans="3:16" x14ac:dyDescent="0.25">
      <c r="C240" s="181"/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</row>
    <row r="241" spans="3:16" x14ac:dyDescent="0.25">
      <c r="C241" s="181"/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</row>
    <row r="242" spans="3:16" x14ac:dyDescent="0.25">
      <c r="C242" s="181"/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</row>
    <row r="243" spans="3:16" x14ac:dyDescent="0.25">
      <c r="C243" s="181"/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</row>
    <row r="244" spans="3:16" x14ac:dyDescent="0.25">
      <c r="C244" s="181"/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</row>
    <row r="245" spans="3:16" x14ac:dyDescent="0.25">
      <c r="C245" s="181"/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</row>
    <row r="246" spans="3:16" x14ac:dyDescent="0.25">
      <c r="C246" s="181"/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</row>
    <row r="247" spans="3:16" x14ac:dyDescent="0.25">
      <c r="C247" s="181"/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</row>
    <row r="248" spans="3:16" x14ac:dyDescent="0.25">
      <c r="C248" s="181"/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</row>
    <row r="249" spans="3:16" x14ac:dyDescent="0.25">
      <c r="C249" s="181"/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</row>
    <row r="250" spans="3:16" x14ac:dyDescent="0.25">
      <c r="C250" s="181"/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</row>
    <row r="251" spans="3:16" x14ac:dyDescent="0.25">
      <c r="C251" s="181"/>
      <c r="D251" s="181"/>
      <c r="E251" s="181"/>
      <c r="F251" s="181"/>
      <c r="G251" s="181"/>
      <c r="H251" s="181"/>
      <c r="I251" s="181"/>
      <c r="J251" s="181"/>
      <c r="K251" s="181"/>
      <c r="L251" s="181"/>
      <c r="M251" s="181"/>
      <c r="N251" s="181"/>
      <c r="O251" s="181"/>
      <c r="P251" s="181"/>
    </row>
    <row r="252" spans="3:16" x14ac:dyDescent="0.25">
      <c r="C252" s="181"/>
      <c r="D252" s="181"/>
      <c r="E252" s="181"/>
      <c r="F252" s="181"/>
      <c r="G252" s="181"/>
      <c r="H252" s="181"/>
      <c r="I252" s="181"/>
      <c r="J252" s="181"/>
      <c r="K252" s="181"/>
      <c r="L252" s="181"/>
      <c r="M252" s="181"/>
      <c r="N252" s="181"/>
      <c r="O252" s="181"/>
      <c r="P252" s="181"/>
    </row>
    <row r="253" spans="3:16" x14ac:dyDescent="0.25">
      <c r="C253" s="181"/>
      <c r="D253" s="181"/>
      <c r="E253" s="181"/>
      <c r="F253" s="181"/>
      <c r="G253" s="181"/>
      <c r="H253" s="181"/>
      <c r="I253" s="181"/>
      <c r="J253" s="181"/>
      <c r="K253" s="181"/>
      <c r="L253" s="181"/>
      <c r="M253" s="181"/>
      <c r="N253" s="181"/>
      <c r="O253" s="181"/>
      <c r="P253" s="181"/>
    </row>
    <row r="254" spans="3:16" x14ac:dyDescent="0.25">
      <c r="C254" s="181"/>
      <c r="D254" s="181"/>
      <c r="E254" s="181"/>
      <c r="F254" s="181"/>
      <c r="G254" s="181"/>
      <c r="H254" s="181"/>
      <c r="I254" s="181"/>
      <c r="J254" s="181"/>
      <c r="K254" s="181"/>
      <c r="L254" s="181"/>
      <c r="M254" s="181"/>
      <c r="N254" s="181"/>
      <c r="O254" s="181"/>
      <c r="P254" s="181"/>
    </row>
    <row r="255" spans="3:16" x14ac:dyDescent="0.25">
      <c r="C255" s="181"/>
      <c r="D255" s="181"/>
      <c r="E255" s="181"/>
      <c r="F255" s="181"/>
      <c r="G255" s="181"/>
      <c r="H255" s="181"/>
      <c r="I255" s="181"/>
      <c r="J255" s="181"/>
      <c r="K255" s="181"/>
      <c r="L255" s="181"/>
      <c r="M255" s="181"/>
      <c r="N255" s="181"/>
      <c r="O255" s="181"/>
      <c r="P255" s="181"/>
    </row>
    <row r="256" spans="3:16" x14ac:dyDescent="0.25">
      <c r="C256" s="181"/>
      <c r="D256" s="181"/>
      <c r="E256" s="181"/>
      <c r="F256" s="181"/>
      <c r="G256" s="181"/>
      <c r="H256" s="181"/>
      <c r="I256" s="181"/>
      <c r="J256" s="181"/>
      <c r="K256" s="181"/>
      <c r="L256" s="181"/>
      <c r="M256" s="181"/>
      <c r="N256" s="181"/>
      <c r="O256" s="181"/>
      <c r="P256" s="181"/>
    </row>
    <row r="257" spans="3:16" x14ac:dyDescent="0.25">
      <c r="C257" s="181"/>
      <c r="D257" s="181"/>
      <c r="E257" s="181"/>
      <c r="F257" s="181"/>
      <c r="G257" s="181"/>
      <c r="H257" s="181"/>
      <c r="I257" s="181"/>
      <c r="J257" s="181"/>
      <c r="K257" s="181"/>
      <c r="L257" s="181"/>
      <c r="M257" s="181"/>
      <c r="N257" s="181"/>
      <c r="O257" s="181"/>
      <c r="P257" s="181"/>
    </row>
    <row r="258" spans="3:16" x14ac:dyDescent="0.25">
      <c r="C258" s="181"/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</row>
    <row r="259" spans="3:16" x14ac:dyDescent="0.25">
      <c r="C259" s="181"/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</row>
    <row r="260" spans="3:16" x14ac:dyDescent="0.25">
      <c r="C260" s="181"/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</row>
    <row r="261" spans="3:16" x14ac:dyDescent="0.25">
      <c r="C261" s="181"/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</row>
    <row r="262" spans="3:16" x14ac:dyDescent="0.25">
      <c r="C262" s="181"/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</row>
    <row r="263" spans="3:16" x14ac:dyDescent="0.25">
      <c r="C263" s="181"/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</row>
    <row r="264" spans="3:16" x14ac:dyDescent="0.25">
      <c r="C264" s="181"/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</row>
    <row r="265" spans="3:16" x14ac:dyDescent="0.25">
      <c r="C265" s="181"/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</row>
    <row r="266" spans="3:16" x14ac:dyDescent="0.25">
      <c r="C266" s="181"/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</row>
    <row r="267" spans="3:16" x14ac:dyDescent="0.25">
      <c r="C267" s="181"/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</row>
    <row r="268" spans="3:16" x14ac:dyDescent="0.25">
      <c r="C268" s="181"/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</row>
    <row r="269" spans="3:16" x14ac:dyDescent="0.25">
      <c r="C269" s="181"/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</row>
    <row r="270" spans="3:16" x14ac:dyDescent="0.25">
      <c r="C270" s="181"/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</row>
    <row r="271" spans="3:16" x14ac:dyDescent="0.25">
      <c r="C271" s="181"/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</row>
    <row r="272" spans="3:16" x14ac:dyDescent="0.25">
      <c r="C272" s="181"/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</row>
    <row r="273" spans="3:16" x14ac:dyDescent="0.25">
      <c r="C273" s="181"/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</row>
    <row r="274" spans="3:16" x14ac:dyDescent="0.25">
      <c r="C274" s="181"/>
      <c r="D274" s="181"/>
      <c r="E274" s="181"/>
      <c r="F274" s="181"/>
      <c r="G274" s="181"/>
      <c r="H274" s="181"/>
      <c r="I274" s="181"/>
      <c r="J274" s="181"/>
      <c r="K274" s="181"/>
      <c r="L274" s="181"/>
      <c r="M274" s="181"/>
      <c r="N274" s="181"/>
      <c r="O274" s="181"/>
      <c r="P274" s="181"/>
    </row>
    <row r="275" spans="3:16" x14ac:dyDescent="0.25">
      <c r="C275" s="181"/>
      <c r="D275" s="181"/>
      <c r="E275" s="181"/>
      <c r="F275" s="181"/>
      <c r="G275" s="181"/>
      <c r="H275" s="181"/>
      <c r="I275" s="181"/>
      <c r="J275" s="181"/>
      <c r="K275" s="181"/>
      <c r="L275" s="181"/>
      <c r="M275" s="181"/>
      <c r="N275" s="181"/>
      <c r="O275" s="181"/>
      <c r="P275" s="181"/>
    </row>
    <row r="276" spans="3:16" x14ac:dyDescent="0.25">
      <c r="C276" s="181"/>
      <c r="D276" s="181"/>
      <c r="E276" s="181"/>
      <c r="F276" s="181"/>
      <c r="G276" s="181"/>
      <c r="H276" s="181"/>
      <c r="I276" s="181"/>
      <c r="J276" s="181"/>
      <c r="K276" s="181"/>
      <c r="L276" s="181"/>
      <c r="M276" s="181"/>
      <c r="N276" s="181"/>
      <c r="O276" s="181"/>
      <c r="P276" s="181"/>
    </row>
    <row r="277" spans="3:16" x14ac:dyDescent="0.25">
      <c r="C277" s="181"/>
      <c r="D277" s="181"/>
      <c r="E277" s="181"/>
      <c r="F277" s="181"/>
      <c r="G277" s="181"/>
      <c r="H277" s="181"/>
      <c r="I277" s="181"/>
      <c r="J277" s="181"/>
      <c r="K277" s="181"/>
      <c r="L277" s="181"/>
      <c r="M277" s="181"/>
      <c r="N277" s="181"/>
      <c r="O277" s="181"/>
      <c r="P277" s="181"/>
    </row>
    <row r="278" spans="3:16" x14ac:dyDescent="0.25">
      <c r="C278" s="181"/>
      <c r="D278" s="181"/>
      <c r="E278" s="181"/>
      <c r="F278" s="181"/>
      <c r="G278" s="181"/>
      <c r="H278" s="181"/>
      <c r="I278" s="181"/>
      <c r="J278" s="181"/>
      <c r="K278" s="181"/>
      <c r="L278" s="181"/>
      <c r="M278" s="181"/>
      <c r="N278" s="181"/>
      <c r="O278" s="181"/>
      <c r="P278" s="181"/>
    </row>
    <row r="279" spans="3:16" x14ac:dyDescent="0.25">
      <c r="C279" s="181"/>
      <c r="D279" s="181"/>
      <c r="E279" s="181"/>
      <c r="F279" s="181"/>
      <c r="G279" s="181"/>
      <c r="H279" s="181"/>
      <c r="I279" s="181"/>
      <c r="J279" s="181"/>
      <c r="K279" s="181"/>
      <c r="L279" s="181"/>
      <c r="M279" s="181"/>
      <c r="N279" s="181"/>
      <c r="O279" s="181"/>
      <c r="P279" s="181"/>
    </row>
    <row r="280" spans="3:16" x14ac:dyDescent="0.25">
      <c r="C280" s="181"/>
      <c r="D280" s="181"/>
      <c r="E280" s="181"/>
      <c r="F280" s="181"/>
      <c r="G280" s="181"/>
      <c r="H280" s="181"/>
      <c r="I280" s="181"/>
      <c r="J280" s="181"/>
      <c r="K280" s="181"/>
      <c r="L280" s="181"/>
      <c r="M280" s="181"/>
      <c r="N280" s="181"/>
      <c r="O280" s="181"/>
      <c r="P280" s="181"/>
    </row>
    <row r="281" spans="3:16" x14ac:dyDescent="0.25">
      <c r="C281" s="181"/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</row>
    <row r="282" spans="3:16" x14ac:dyDescent="0.25">
      <c r="C282" s="181"/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</row>
    <row r="283" spans="3:16" x14ac:dyDescent="0.25">
      <c r="C283" s="181"/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</row>
    <row r="284" spans="3:16" x14ac:dyDescent="0.25">
      <c r="C284" s="181"/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</row>
    <row r="285" spans="3:16" x14ac:dyDescent="0.25"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</row>
    <row r="286" spans="3:16" x14ac:dyDescent="0.25">
      <c r="C286" s="181"/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</row>
    <row r="287" spans="3:16" x14ac:dyDescent="0.25">
      <c r="C287" s="181"/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</row>
    <row r="288" spans="3:16" x14ac:dyDescent="0.25">
      <c r="C288" s="181"/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</row>
    <row r="289" spans="3:16" x14ac:dyDescent="0.25">
      <c r="C289" s="181"/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</row>
    <row r="290" spans="3:16" x14ac:dyDescent="0.25">
      <c r="C290" s="181"/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</row>
    <row r="291" spans="3:16" x14ac:dyDescent="0.25">
      <c r="C291" s="181"/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</row>
    <row r="292" spans="3:16" x14ac:dyDescent="0.25">
      <c r="C292" s="181"/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</row>
    <row r="293" spans="3:16" x14ac:dyDescent="0.25">
      <c r="C293" s="181"/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</row>
    <row r="294" spans="3:16" x14ac:dyDescent="0.25">
      <c r="C294" s="181"/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</row>
    <row r="295" spans="3:16" x14ac:dyDescent="0.25">
      <c r="C295" s="181"/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</row>
    <row r="296" spans="3:16" x14ac:dyDescent="0.25">
      <c r="C296" s="181"/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</row>
    <row r="297" spans="3:16" x14ac:dyDescent="0.25">
      <c r="C297" s="181"/>
      <c r="D297" s="181"/>
      <c r="E297" s="181"/>
      <c r="F297" s="181"/>
      <c r="G297" s="181"/>
      <c r="H297" s="181"/>
      <c r="I297" s="181"/>
      <c r="J297" s="181"/>
      <c r="K297" s="181"/>
      <c r="L297" s="181"/>
      <c r="M297" s="181"/>
      <c r="N297" s="181"/>
      <c r="O297" s="181"/>
      <c r="P297" s="181"/>
    </row>
    <row r="298" spans="3:16" x14ac:dyDescent="0.25">
      <c r="C298" s="181"/>
      <c r="D298" s="181"/>
      <c r="E298" s="181"/>
      <c r="F298" s="181"/>
      <c r="G298" s="181"/>
      <c r="H298" s="181"/>
      <c r="I298" s="181"/>
      <c r="J298" s="181"/>
      <c r="K298" s="181"/>
      <c r="L298" s="181"/>
      <c r="M298" s="181"/>
      <c r="N298" s="181"/>
      <c r="O298" s="181"/>
      <c r="P298" s="181"/>
    </row>
    <row r="299" spans="3:16" x14ac:dyDescent="0.25">
      <c r="C299" s="181"/>
      <c r="D299" s="181"/>
      <c r="E299" s="181"/>
      <c r="F299" s="181"/>
      <c r="G299" s="181"/>
      <c r="H299" s="181"/>
      <c r="I299" s="181"/>
      <c r="J299" s="181"/>
      <c r="K299" s="181"/>
      <c r="L299" s="181"/>
      <c r="M299" s="181"/>
      <c r="N299" s="181"/>
      <c r="O299" s="181"/>
      <c r="P299" s="181"/>
    </row>
    <row r="300" spans="3:16" x14ac:dyDescent="0.25">
      <c r="C300" s="181"/>
      <c r="D300" s="181"/>
      <c r="E300" s="181"/>
      <c r="F300" s="181"/>
      <c r="G300" s="181"/>
      <c r="H300" s="181"/>
      <c r="I300" s="181"/>
      <c r="J300" s="181"/>
      <c r="K300" s="181"/>
      <c r="L300" s="181"/>
      <c r="M300" s="181"/>
      <c r="N300" s="181"/>
      <c r="O300" s="181"/>
      <c r="P300" s="181"/>
    </row>
    <row r="301" spans="3:16" x14ac:dyDescent="0.25">
      <c r="C301" s="181"/>
      <c r="D301" s="181"/>
      <c r="E301" s="181"/>
      <c r="F301" s="181"/>
      <c r="G301" s="181"/>
      <c r="H301" s="181"/>
      <c r="I301" s="181"/>
      <c r="J301" s="181"/>
      <c r="K301" s="181"/>
      <c r="L301" s="181"/>
      <c r="M301" s="181"/>
      <c r="N301" s="181"/>
      <c r="O301" s="181"/>
      <c r="P301" s="181"/>
    </row>
    <row r="302" spans="3:16" x14ac:dyDescent="0.25">
      <c r="C302" s="181"/>
      <c r="D302" s="181"/>
      <c r="E302" s="181"/>
      <c r="F302" s="181"/>
      <c r="G302" s="181"/>
      <c r="H302" s="181"/>
      <c r="I302" s="181"/>
      <c r="J302" s="181"/>
      <c r="K302" s="181"/>
      <c r="L302" s="181"/>
      <c r="M302" s="181"/>
      <c r="N302" s="181"/>
      <c r="O302" s="181"/>
      <c r="P302" s="181"/>
    </row>
    <row r="303" spans="3:16" x14ac:dyDescent="0.25">
      <c r="C303" s="181"/>
      <c r="D303" s="181"/>
      <c r="E303" s="181"/>
      <c r="F303" s="181"/>
      <c r="G303" s="181"/>
      <c r="H303" s="181"/>
      <c r="I303" s="181"/>
      <c r="J303" s="181"/>
      <c r="K303" s="181"/>
      <c r="L303" s="181"/>
      <c r="M303" s="181"/>
      <c r="N303" s="181"/>
      <c r="O303" s="181"/>
      <c r="P303" s="181"/>
    </row>
    <row r="304" spans="3:16" x14ac:dyDescent="0.25">
      <c r="C304" s="181"/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</row>
    <row r="305" spans="3:16" x14ac:dyDescent="0.25">
      <c r="C305" s="181"/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</row>
    <row r="306" spans="3:16" x14ac:dyDescent="0.25">
      <c r="C306" s="181"/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</row>
    <row r="307" spans="3:16" x14ac:dyDescent="0.25">
      <c r="C307" s="181"/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</row>
    <row r="308" spans="3:16" x14ac:dyDescent="0.25">
      <c r="C308" s="181"/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I25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12" sqref="H12:H17"/>
    </sheetView>
  </sheetViews>
  <sheetFormatPr defaultColWidth="8.85546875" defaultRowHeight="12.75" x14ac:dyDescent="0.2"/>
  <cols>
    <col min="1" max="1" width="58.7109375" style="171" customWidth="1"/>
    <col min="2" max="2" width="11.140625" style="29" bestFit="1" customWidth="1"/>
    <col min="3" max="4" width="11.140625" style="29" hidden="1" customWidth="1"/>
    <col min="5" max="5" width="11" style="29" bestFit="1" customWidth="1"/>
    <col min="6" max="7" width="11" style="29" hidden="1" customWidth="1"/>
    <col min="8" max="8" width="11.140625" style="29" bestFit="1" customWidth="1"/>
    <col min="9" max="10" width="11.140625" style="29" hidden="1" customWidth="1"/>
    <col min="11" max="11" width="11.140625" style="29" bestFit="1" customWidth="1"/>
    <col min="12" max="13" width="11.140625" style="29" hidden="1" customWidth="1"/>
    <col min="14" max="14" width="10.140625" style="29" bestFit="1" customWidth="1"/>
    <col min="15" max="16" width="10.140625" style="29" hidden="1" customWidth="1"/>
    <col min="17" max="17" width="11.140625" style="29" bestFit="1" customWidth="1"/>
    <col min="18" max="19" width="11.140625" style="29" hidden="1" customWidth="1"/>
    <col min="20" max="20" width="11.140625" style="29" bestFit="1" customWidth="1"/>
    <col min="21" max="22" width="11.140625" style="29" hidden="1" customWidth="1"/>
    <col min="23" max="23" width="10" style="29" bestFit="1" customWidth="1"/>
    <col min="24" max="25" width="10" style="29" hidden="1" customWidth="1"/>
    <col min="26" max="26" width="10.140625" style="29" bestFit="1" customWidth="1"/>
    <col min="27" max="28" width="10.140625" style="29" hidden="1" customWidth="1"/>
    <col min="29" max="29" width="10.140625" style="29" bestFit="1" customWidth="1"/>
    <col min="30" max="31" width="10.140625" style="29" hidden="1" customWidth="1"/>
    <col min="32" max="32" width="10" style="29" bestFit="1" customWidth="1"/>
    <col min="33" max="34" width="10" style="29" hidden="1" customWidth="1"/>
    <col min="35" max="35" width="10.140625" style="29" bestFit="1" customWidth="1"/>
    <col min="36" max="16384" width="8.85546875" style="29"/>
  </cols>
  <sheetData>
    <row r="1" spans="1:35" s="30" customFormat="1" ht="17.45" customHeight="1" thickBot="1" x14ac:dyDescent="0.25">
      <c r="A1" s="167"/>
      <c r="B1" s="74">
        <v>46023</v>
      </c>
      <c r="C1" s="74"/>
      <c r="D1" s="74"/>
      <c r="E1" s="74">
        <v>46054</v>
      </c>
      <c r="F1" s="74"/>
      <c r="G1" s="74"/>
      <c r="H1" s="74">
        <v>46082</v>
      </c>
      <c r="I1" s="74"/>
      <c r="J1" s="74"/>
      <c r="K1" s="74">
        <v>46113</v>
      </c>
      <c r="L1" s="74"/>
      <c r="M1" s="74"/>
      <c r="N1" s="74">
        <v>46143</v>
      </c>
      <c r="O1" s="74"/>
      <c r="P1" s="74"/>
      <c r="Q1" s="74">
        <v>46174</v>
      </c>
      <c r="R1" s="74"/>
      <c r="S1" s="74"/>
      <c r="T1" s="74">
        <v>46204</v>
      </c>
      <c r="U1" s="74"/>
      <c r="V1" s="74"/>
      <c r="W1" s="74">
        <v>46235</v>
      </c>
      <c r="X1" s="74"/>
      <c r="Y1" s="74"/>
      <c r="Z1" s="74">
        <v>46266</v>
      </c>
      <c r="AA1" s="74"/>
      <c r="AB1" s="74"/>
      <c r="AC1" s="74">
        <v>46296</v>
      </c>
      <c r="AD1" s="74"/>
      <c r="AE1" s="74"/>
      <c r="AF1" s="74">
        <v>46327</v>
      </c>
      <c r="AG1" s="74"/>
      <c r="AH1" s="74"/>
      <c r="AI1" s="74">
        <v>46357</v>
      </c>
    </row>
    <row r="2" spans="1:35" s="30" customFormat="1" ht="13.5" thickBot="1" x14ac:dyDescent="0.25">
      <c r="A2" s="168" t="s">
        <v>137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</row>
    <row r="4" spans="1:35" x14ac:dyDescent="0.2">
      <c r="A4" s="169" t="s">
        <v>166</v>
      </c>
      <c r="B4" s="79"/>
      <c r="C4" s="79"/>
      <c r="D4" s="79"/>
    </row>
    <row r="5" spans="1:35" x14ac:dyDescent="0.2">
      <c r="A5" s="170"/>
      <c r="B5" s="79"/>
      <c r="C5" s="79"/>
      <c r="D5" s="79"/>
    </row>
    <row r="6" spans="1:35" x14ac:dyDescent="0.2">
      <c r="A6" s="170" t="s">
        <v>193</v>
      </c>
      <c r="B6" s="79">
        <v>4006.34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</row>
    <row r="7" spans="1:35" x14ac:dyDescent="0.2">
      <c r="A7" s="170" t="s">
        <v>193</v>
      </c>
      <c r="B7" s="79">
        <v>3346.4</v>
      </c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</row>
    <row r="8" spans="1:35" ht="25.5" x14ac:dyDescent="0.2">
      <c r="A8" s="170" t="s">
        <v>194</v>
      </c>
      <c r="B8" s="79">
        <v>20000</v>
      </c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</row>
    <row r="9" spans="1:35" x14ac:dyDescent="0.2">
      <c r="A9" s="170" t="s">
        <v>193</v>
      </c>
      <c r="B9" s="79"/>
      <c r="C9" s="79"/>
      <c r="D9" s="79"/>
      <c r="E9" s="79">
        <v>3000</v>
      </c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</row>
    <row r="10" spans="1:35" x14ac:dyDescent="0.2">
      <c r="A10" s="170" t="s">
        <v>193</v>
      </c>
      <c r="B10" s="79"/>
      <c r="C10" s="79"/>
      <c r="D10" s="79"/>
      <c r="E10" s="79">
        <v>2539.21</v>
      </c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</row>
    <row r="11" spans="1:35" x14ac:dyDescent="0.2">
      <c r="A11" s="170" t="s">
        <v>193</v>
      </c>
      <c r="B11" s="79"/>
      <c r="C11" s="79"/>
      <c r="D11" s="79"/>
      <c r="E11" s="79">
        <v>5000</v>
      </c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</row>
    <row r="12" spans="1:35" x14ac:dyDescent="0.2">
      <c r="A12" s="170" t="s">
        <v>193</v>
      </c>
      <c r="B12" s="79"/>
      <c r="C12" s="79"/>
      <c r="D12" s="79"/>
      <c r="E12" s="79"/>
      <c r="F12" s="79"/>
      <c r="G12" s="79"/>
      <c r="H12" s="79">
        <v>2741.06</v>
      </c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</row>
    <row r="13" spans="1:35" x14ac:dyDescent="0.2">
      <c r="A13" s="170" t="s">
        <v>389</v>
      </c>
      <c r="B13" s="79"/>
      <c r="C13" s="79"/>
      <c r="D13" s="79"/>
      <c r="E13" s="79"/>
      <c r="F13" s="79"/>
      <c r="G13" s="79"/>
      <c r="H13" s="79">
        <v>492.9</v>
      </c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</row>
    <row r="14" spans="1:35" x14ac:dyDescent="0.2">
      <c r="A14" s="170" t="s">
        <v>389</v>
      </c>
      <c r="B14" s="79"/>
      <c r="C14" s="79"/>
      <c r="D14" s="79"/>
      <c r="E14" s="79"/>
      <c r="F14" s="79"/>
      <c r="G14" s="79"/>
      <c r="H14" s="79">
        <v>990</v>
      </c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</row>
    <row r="15" spans="1:35" x14ac:dyDescent="0.2">
      <c r="A15" s="170" t="s">
        <v>389</v>
      </c>
      <c r="B15" s="79"/>
      <c r="C15" s="79"/>
      <c r="D15" s="79"/>
      <c r="E15" s="79"/>
      <c r="F15" s="79"/>
      <c r="G15" s="79"/>
      <c r="H15" s="79">
        <v>4200</v>
      </c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</row>
    <row r="16" spans="1:35" x14ac:dyDescent="0.2">
      <c r="A16" s="170" t="s">
        <v>389</v>
      </c>
      <c r="B16" s="79"/>
      <c r="C16" s="79"/>
      <c r="D16" s="79"/>
      <c r="E16" s="79"/>
      <c r="F16" s="79"/>
      <c r="G16" s="79"/>
      <c r="H16" s="79">
        <v>1050</v>
      </c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</row>
    <row r="17" spans="1:35" x14ac:dyDescent="0.2">
      <c r="A17" s="170" t="s">
        <v>389</v>
      </c>
      <c r="B17" s="79"/>
      <c r="C17" s="79"/>
      <c r="D17" s="79"/>
      <c r="E17" s="79"/>
      <c r="F17" s="79"/>
      <c r="G17" s="79"/>
      <c r="H17" s="79">
        <v>1470</v>
      </c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</row>
    <row r="18" spans="1:35" x14ac:dyDescent="0.2">
      <c r="A18" s="170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</row>
    <row r="19" spans="1:35" x14ac:dyDescent="0.2">
      <c r="A19" s="170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</row>
    <row r="20" spans="1:35" x14ac:dyDescent="0.2">
      <c r="A20" s="170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</row>
    <row r="21" spans="1:35" x14ac:dyDescent="0.2">
      <c r="A21" s="170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</row>
    <row r="22" spans="1:35" x14ac:dyDescent="0.2">
      <c r="A22" s="170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</row>
    <row r="23" spans="1:35" x14ac:dyDescent="0.2">
      <c r="A23" s="170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</row>
    <row r="24" spans="1:35" x14ac:dyDescent="0.2">
      <c r="A24" s="169" t="s">
        <v>167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</row>
    <row r="25" spans="1:35" x14ac:dyDescent="0.2"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</row>
    <row r="26" spans="1:35" x14ac:dyDescent="0.2">
      <c r="A26" s="171" t="s">
        <v>195</v>
      </c>
      <c r="B26" s="79">
        <v>1550</v>
      </c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</row>
    <row r="27" spans="1:35" ht="25.5" x14ac:dyDescent="0.2">
      <c r="A27" s="171" t="s">
        <v>196</v>
      </c>
      <c r="B27" s="79">
        <v>1130</v>
      </c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</row>
    <row r="28" spans="1:35" ht="25.5" x14ac:dyDescent="0.2">
      <c r="A28" s="171" t="s">
        <v>197</v>
      </c>
      <c r="B28" s="79">
        <v>2100</v>
      </c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</row>
    <row r="29" spans="1:35" ht="25.5" x14ac:dyDescent="0.2">
      <c r="A29" s="171" t="s">
        <v>198</v>
      </c>
      <c r="B29" s="79">
        <v>1510</v>
      </c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</row>
    <row r="30" spans="1:35" x14ac:dyDescent="0.2">
      <c r="A30" s="171" t="s">
        <v>199</v>
      </c>
      <c r="B30" s="79">
        <v>4720</v>
      </c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</row>
    <row r="31" spans="1:35" x14ac:dyDescent="0.2">
      <c r="A31" s="171" t="s">
        <v>200</v>
      </c>
      <c r="B31" s="79">
        <v>9450</v>
      </c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</row>
    <row r="32" spans="1:35" x14ac:dyDescent="0.2">
      <c r="A32" s="171" t="s">
        <v>201</v>
      </c>
      <c r="B32" s="79">
        <v>2760</v>
      </c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</row>
    <row r="33" spans="1:35" x14ac:dyDescent="0.2">
      <c r="A33" s="171" t="s">
        <v>202</v>
      </c>
      <c r="B33" s="79">
        <v>693.6</v>
      </c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</row>
    <row r="34" spans="1:35" x14ac:dyDescent="0.2">
      <c r="A34" s="171" t="s">
        <v>203</v>
      </c>
      <c r="B34" s="79">
        <v>910</v>
      </c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</row>
    <row r="35" spans="1:35" x14ac:dyDescent="0.2">
      <c r="A35" s="171" t="s">
        <v>204</v>
      </c>
      <c r="B35" s="79">
        <v>2414</v>
      </c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</row>
    <row r="36" spans="1:35" x14ac:dyDescent="0.2">
      <c r="A36" s="171" t="s">
        <v>205</v>
      </c>
      <c r="B36" s="79">
        <v>4828</v>
      </c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</row>
    <row r="37" spans="1:35" x14ac:dyDescent="0.2">
      <c r="A37" s="171" t="s">
        <v>206</v>
      </c>
      <c r="B37" s="79">
        <v>1212.46</v>
      </c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</row>
    <row r="38" spans="1:35" x14ac:dyDescent="0.2">
      <c r="A38" s="171" t="s">
        <v>207</v>
      </c>
      <c r="B38" s="79">
        <v>4200</v>
      </c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</row>
    <row r="39" spans="1:35" x14ac:dyDescent="0.2">
      <c r="A39" s="171" t="s">
        <v>208</v>
      </c>
      <c r="B39" s="79">
        <v>3045</v>
      </c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</row>
    <row r="40" spans="1:35" x14ac:dyDescent="0.2">
      <c r="A40" s="171" t="s">
        <v>209</v>
      </c>
      <c r="B40" s="79">
        <v>6195</v>
      </c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</row>
    <row r="41" spans="1:35" x14ac:dyDescent="0.2">
      <c r="A41" s="171" t="s">
        <v>210</v>
      </c>
      <c r="B41" s="79">
        <v>6195</v>
      </c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</row>
    <row r="42" spans="1:35" ht="25.5" x14ac:dyDescent="0.2">
      <c r="A42" s="171" t="s">
        <v>306</v>
      </c>
      <c r="B42" s="79">
        <v>2940</v>
      </c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</row>
    <row r="43" spans="1:35" ht="25.5" x14ac:dyDescent="0.2">
      <c r="A43" s="171" t="s">
        <v>307</v>
      </c>
      <c r="B43" s="79">
        <v>2940</v>
      </c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</row>
    <row r="44" spans="1:35" x14ac:dyDescent="0.2">
      <c r="A44" s="171" t="s">
        <v>308</v>
      </c>
      <c r="B44" s="79">
        <v>2940</v>
      </c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</row>
    <row r="45" spans="1:35" ht="25.5" x14ac:dyDescent="0.2">
      <c r="A45" s="171" t="s">
        <v>309</v>
      </c>
      <c r="B45" s="79">
        <v>3180</v>
      </c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</row>
    <row r="46" spans="1:35" ht="25.5" x14ac:dyDescent="0.2">
      <c r="A46" s="171" t="s">
        <v>341</v>
      </c>
      <c r="B46" s="79"/>
      <c r="C46" s="79"/>
      <c r="D46" s="79"/>
      <c r="E46" s="79">
        <v>413.1</v>
      </c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</row>
    <row r="47" spans="1:35" ht="25.5" x14ac:dyDescent="0.2">
      <c r="A47" s="171" t="s">
        <v>342</v>
      </c>
      <c r="B47" s="79"/>
      <c r="C47" s="79"/>
      <c r="D47" s="79"/>
      <c r="E47" s="79">
        <v>13125</v>
      </c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</row>
    <row r="48" spans="1:35" ht="25.5" x14ac:dyDescent="0.2">
      <c r="A48" s="171" t="s">
        <v>343</v>
      </c>
      <c r="B48" s="79"/>
      <c r="C48" s="79"/>
      <c r="D48" s="79"/>
      <c r="E48" s="79">
        <v>1896.42</v>
      </c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</row>
    <row r="49" spans="1:35" ht="25.5" x14ac:dyDescent="0.2">
      <c r="A49" s="171" t="s">
        <v>344</v>
      </c>
      <c r="B49" s="79"/>
      <c r="C49" s="79"/>
      <c r="D49" s="79"/>
      <c r="E49" s="79">
        <v>910</v>
      </c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</row>
    <row r="50" spans="1:35" ht="25.5" x14ac:dyDescent="0.2">
      <c r="A50" s="171" t="s">
        <v>345</v>
      </c>
      <c r="B50" s="79"/>
      <c r="C50" s="79"/>
      <c r="D50" s="79"/>
      <c r="E50" s="79">
        <v>4200</v>
      </c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</row>
    <row r="51" spans="1:35" ht="25.5" x14ac:dyDescent="0.2">
      <c r="A51" s="171" t="s">
        <v>346</v>
      </c>
      <c r="B51" s="79"/>
      <c r="C51" s="79"/>
      <c r="D51" s="79"/>
      <c r="E51" s="79">
        <v>8925</v>
      </c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</row>
    <row r="52" spans="1:35" ht="25.5" x14ac:dyDescent="0.2">
      <c r="A52" s="171" t="s">
        <v>347</v>
      </c>
      <c r="B52" s="79"/>
      <c r="C52" s="79"/>
      <c r="D52" s="79"/>
      <c r="E52" s="79">
        <v>4200</v>
      </c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</row>
    <row r="53" spans="1:35" ht="25.5" x14ac:dyDescent="0.2">
      <c r="A53" s="171" t="s">
        <v>348</v>
      </c>
      <c r="B53" s="79"/>
      <c r="C53" s="79"/>
      <c r="D53" s="79"/>
      <c r="E53" s="79">
        <v>20592</v>
      </c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</row>
    <row r="54" spans="1:35" ht="25.5" x14ac:dyDescent="0.2">
      <c r="A54" s="171" t="s">
        <v>349</v>
      </c>
      <c r="B54" s="79"/>
      <c r="C54" s="79"/>
      <c r="D54" s="79"/>
      <c r="E54" s="79">
        <v>-1683.19</v>
      </c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</row>
    <row r="55" spans="1:35" ht="25.5" x14ac:dyDescent="0.2">
      <c r="A55" s="171" t="s">
        <v>350</v>
      </c>
      <c r="B55" s="79"/>
      <c r="C55" s="79"/>
      <c r="D55" s="79"/>
      <c r="E55" s="79">
        <v>-3446.79</v>
      </c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</row>
    <row r="56" spans="1:35" ht="25.5" x14ac:dyDescent="0.2">
      <c r="A56" s="171" t="s">
        <v>351</v>
      </c>
      <c r="B56" s="79"/>
      <c r="C56" s="79"/>
      <c r="D56" s="79"/>
      <c r="E56" s="79">
        <v>-6379.45</v>
      </c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</row>
    <row r="57" spans="1:35" ht="25.5" x14ac:dyDescent="0.2">
      <c r="A57" s="171" t="s">
        <v>352</v>
      </c>
      <c r="B57" s="79"/>
      <c r="C57" s="79"/>
      <c r="D57" s="79"/>
      <c r="E57" s="79">
        <v>-7341.69</v>
      </c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</row>
    <row r="58" spans="1:35" ht="25.5" x14ac:dyDescent="0.2">
      <c r="A58" s="170" t="s">
        <v>362</v>
      </c>
      <c r="B58" s="79"/>
      <c r="C58" s="79"/>
      <c r="D58" s="79"/>
      <c r="E58" s="79"/>
      <c r="F58" s="79"/>
      <c r="G58" s="79"/>
      <c r="H58" s="79">
        <v>180</v>
      </c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</row>
    <row r="59" spans="1:35" ht="25.5" x14ac:dyDescent="0.2">
      <c r="A59" s="170" t="s">
        <v>363</v>
      </c>
      <c r="B59" s="79"/>
      <c r="C59" s="79"/>
      <c r="D59" s="79"/>
      <c r="E59" s="79"/>
      <c r="F59" s="79"/>
      <c r="G59" s="79"/>
      <c r="H59" s="79">
        <v>3024</v>
      </c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</row>
    <row r="60" spans="1:35" ht="25.5" x14ac:dyDescent="0.2">
      <c r="A60" s="170" t="s">
        <v>364</v>
      </c>
      <c r="B60" s="79"/>
      <c r="C60" s="79"/>
      <c r="D60" s="79"/>
      <c r="E60" s="79"/>
      <c r="F60" s="79"/>
      <c r="G60" s="79"/>
      <c r="H60" s="79">
        <v>-1700.7</v>
      </c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</row>
    <row r="61" spans="1:35" ht="25.5" x14ac:dyDescent="0.2">
      <c r="A61" s="170" t="s">
        <v>365</v>
      </c>
      <c r="B61" s="79"/>
      <c r="C61" s="79"/>
      <c r="D61" s="79"/>
      <c r="E61" s="79"/>
      <c r="F61" s="79"/>
      <c r="G61" s="79"/>
      <c r="H61" s="79">
        <v>4766.45</v>
      </c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</row>
    <row r="62" spans="1:35" x14ac:dyDescent="0.2">
      <c r="A62" s="170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</row>
    <row r="63" spans="1:35" x14ac:dyDescent="0.2">
      <c r="A63" s="170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</row>
    <row r="64" spans="1:35" x14ac:dyDescent="0.2">
      <c r="A64" s="170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</row>
    <row r="65" spans="1:35" x14ac:dyDescent="0.2">
      <c r="A65" s="170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</row>
    <row r="66" spans="1:35" x14ac:dyDescent="0.2">
      <c r="A66" s="170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</row>
    <row r="67" spans="1:35" x14ac:dyDescent="0.2">
      <c r="A67" s="169" t="s">
        <v>168</v>
      </c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</row>
    <row r="68" spans="1:35" x14ac:dyDescent="0.2">
      <c r="A68" s="170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</row>
    <row r="69" spans="1:35" x14ac:dyDescent="0.2">
      <c r="A69" s="170" t="s">
        <v>304</v>
      </c>
      <c r="B69" s="79">
        <v>-4006.34</v>
      </c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</row>
    <row r="70" spans="1:35" x14ac:dyDescent="0.2">
      <c r="A70" s="170" t="s">
        <v>304</v>
      </c>
      <c r="B70" s="79">
        <v>-3346.4</v>
      </c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</row>
    <row r="71" spans="1:35" ht="25.5" x14ac:dyDescent="0.2">
      <c r="A71" s="170" t="s">
        <v>305</v>
      </c>
      <c r="B71" s="79">
        <v>-3000</v>
      </c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</row>
    <row r="72" spans="1:35" x14ac:dyDescent="0.2">
      <c r="A72" s="170" t="s">
        <v>304</v>
      </c>
      <c r="B72" s="79"/>
      <c r="C72" s="79"/>
      <c r="D72" s="79"/>
      <c r="E72" s="79">
        <v>-5000</v>
      </c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</row>
    <row r="73" spans="1:35" x14ac:dyDescent="0.2">
      <c r="A73" s="170" t="s">
        <v>304</v>
      </c>
      <c r="B73" s="79"/>
      <c r="C73" s="79"/>
      <c r="D73" s="79"/>
      <c r="E73" s="79">
        <v>-2539.21</v>
      </c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</row>
    <row r="74" spans="1:35" ht="15" x14ac:dyDescent="0.25">
      <c r="A74" s="170" t="s">
        <v>304</v>
      </c>
      <c r="B74" s="79"/>
      <c r="C74" s="79"/>
      <c r="D74" s="79"/>
      <c r="E74" s="79"/>
      <c r="F74" s="79"/>
      <c r="G74" s="79"/>
      <c r="H74" s="181">
        <v>-2741.06</v>
      </c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</row>
    <row r="75" spans="1:35" ht="15" x14ac:dyDescent="0.25">
      <c r="A75" s="170"/>
      <c r="B75" s="79"/>
      <c r="C75" s="79"/>
      <c r="D75" s="79"/>
      <c r="E75" s="79"/>
      <c r="F75" s="79"/>
      <c r="G75" s="79"/>
      <c r="H75" s="181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</row>
    <row r="76" spans="1:35" ht="15" x14ac:dyDescent="0.25">
      <c r="A76" s="170"/>
      <c r="B76" s="79"/>
      <c r="C76" s="79"/>
      <c r="D76" s="79"/>
      <c r="E76" s="79"/>
      <c r="F76" s="79"/>
      <c r="G76" s="79"/>
      <c r="H76" s="181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</row>
    <row r="77" spans="1:35" ht="15" x14ac:dyDescent="0.25">
      <c r="A77" s="170"/>
      <c r="B77" s="79"/>
      <c r="C77" s="79"/>
      <c r="D77" s="79"/>
      <c r="E77" s="79"/>
      <c r="F77" s="79"/>
      <c r="G77" s="79"/>
      <c r="H77" s="181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</row>
    <row r="78" spans="1:35" x14ac:dyDescent="0.2">
      <c r="A78" s="170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</row>
    <row r="79" spans="1:35" x14ac:dyDescent="0.2"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</row>
    <row r="80" spans="1:35" s="30" customFormat="1" x14ac:dyDescent="0.2">
      <c r="A80" s="172" t="s">
        <v>138</v>
      </c>
      <c r="B80" s="78">
        <f>SUM(B2:B79)</f>
        <v>81913.06</v>
      </c>
      <c r="C80" s="78"/>
      <c r="D80" s="78"/>
      <c r="E80" s="78">
        <f>SUM(E2:E79)</f>
        <v>38410.399999999994</v>
      </c>
      <c r="F80" s="78"/>
      <c r="G80" s="78"/>
      <c r="H80" s="78">
        <f>SUM(H2:H79)</f>
        <v>14472.65</v>
      </c>
      <c r="I80" s="78"/>
      <c r="J80" s="78"/>
      <c r="K80" s="78">
        <f>SUM(K2:K79)</f>
        <v>0</v>
      </c>
      <c r="L80" s="78"/>
      <c r="M80" s="78"/>
      <c r="N80" s="78">
        <f>SUM(N2:N79)</f>
        <v>0</v>
      </c>
      <c r="O80" s="78"/>
      <c r="P80" s="78"/>
      <c r="Q80" s="78">
        <f>SUM(Q2:Q79)</f>
        <v>0</v>
      </c>
      <c r="R80" s="78"/>
      <c r="S80" s="78"/>
      <c r="T80" s="78">
        <f>SUM(T2:T79)</f>
        <v>0</v>
      </c>
      <c r="U80" s="78"/>
      <c r="V80" s="78"/>
      <c r="W80" s="78">
        <f>SUM(W2:W79)</f>
        <v>0</v>
      </c>
      <c r="X80" s="78"/>
      <c r="Y80" s="78"/>
      <c r="Z80" s="78">
        <f>SUM(Z2:Z79)</f>
        <v>0</v>
      </c>
      <c r="AA80" s="78"/>
      <c r="AB80" s="78"/>
      <c r="AC80" s="78">
        <f>SUM(AC2:AC79)</f>
        <v>0</v>
      </c>
      <c r="AD80" s="78"/>
      <c r="AE80" s="78"/>
      <c r="AF80" s="78">
        <f>SUM(AF2:AF79)</f>
        <v>0</v>
      </c>
      <c r="AG80" s="78"/>
      <c r="AH80" s="78"/>
      <c r="AI80" s="78">
        <f>SUM(AI2:AI79)</f>
        <v>0</v>
      </c>
    </row>
    <row r="81" spans="1:35" s="30" customFormat="1" ht="13.5" thickBot="1" x14ac:dyDescent="0.25">
      <c r="A81" s="172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</row>
    <row r="82" spans="1:35" ht="13.5" thickBot="1" x14ac:dyDescent="0.25">
      <c r="A82" s="173" t="s">
        <v>173</v>
      </c>
      <c r="B82" s="161"/>
      <c r="C82" s="161"/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  <c r="X82" s="161"/>
      <c r="Y82" s="161"/>
      <c r="Z82" s="161"/>
      <c r="AA82" s="161"/>
      <c r="AB82" s="161"/>
      <c r="AC82" s="161"/>
      <c r="AD82" s="161"/>
      <c r="AE82" s="161"/>
      <c r="AF82" s="161"/>
      <c r="AG82" s="161"/>
      <c r="AH82" s="161"/>
      <c r="AI82" s="162"/>
    </row>
    <row r="83" spans="1:35" x14ac:dyDescent="0.2">
      <c r="A83" s="169" t="s">
        <v>169</v>
      </c>
      <c r="B83" s="78">
        <v>30</v>
      </c>
      <c r="E83" s="29">
        <v>25</v>
      </c>
      <c r="H83" s="29">
        <v>5</v>
      </c>
    </row>
    <row r="84" spans="1:35" x14ac:dyDescent="0.2">
      <c r="A84" s="169" t="s">
        <v>170</v>
      </c>
      <c r="B84" s="78"/>
      <c r="E84" s="29">
        <v>10</v>
      </c>
    </row>
    <row r="85" spans="1:35" x14ac:dyDescent="0.2">
      <c r="A85" s="169" t="s">
        <v>171</v>
      </c>
      <c r="B85" s="78">
        <v>168</v>
      </c>
      <c r="E85" s="29">
        <v>168</v>
      </c>
      <c r="H85" s="29">
        <v>42</v>
      </c>
    </row>
    <row r="86" spans="1:35" x14ac:dyDescent="0.2">
      <c r="A86" s="169"/>
      <c r="B86" s="78"/>
    </row>
    <row r="87" spans="1:35" x14ac:dyDescent="0.2">
      <c r="A87" s="169" t="s">
        <v>172</v>
      </c>
      <c r="B87" s="78">
        <f>SUM(B83:B86)</f>
        <v>198</v>
      </c>
      <c r="C87" s="78">
        <f t="shared" ref="C87:AI87" si="0">SUM(C83:C86)</f>
        <v>0</v>
      </c>
      <c r="D87" s="78">
        <f t="shared" si="0"/>
        <v>0</v>
      </c>
      <c r="E87" s="78">
        <f t="shared" si="0"/>
        <v>203</v>
      </c>
      <c r="F87" s="78">
        <f t="shared" si="0"/>
        <v>0</v>
      </c>
      <c r="G87" s="78">
        <f t="shared" si="0"/>
        <v>0</v>
      </c>
      <c r="H87" s="78">
        <f t="shared" si="0"/>
        <v>47</v>
      </c>
      <c r="I87" s="78">
        <f t="shared" si="0"/>
        <v>0</v>
      </c>
      <c r="J87" s="78">
        <f t="shared" si="0"/>
        <v>0</v>
      </c>
      <c r="K87" s="78">
        <f t="shared" si="0"/>
        <v>0</v>
      </c>
      <c r="L87" s="78">
        <f t="shared" si="0"/>
        <v>0</v>
      </c>
      <c r="M87" s="78">
        <f t="shared" si="0"/>
        <v>0</v>
      </c>
      <c r="N87" s="78">
        <f t="shared" si="0"/>
        <v>0</v>
      </c>
      <c r="O87" s="78">
        <f t="shared" si="0"/>
        <v>0</v>
      </c>
      <c r="P87" s="78">
        <f t="shared" si="0"/>
        <v>0</v>
      </c>
      <c r="Q87" s="78">
        <f t="shared" si="0"/>
        <v>0</v>
      </c>
      <c r="R87" s="78">
        <f t="shared" si="0"/>
        <v>0</v>
      </c>
      <c r="S87" s="78">
        <f t="shared" si="0"/>
        <v>0</v>
      </c>
      <c r="T87" s="78">
        <f t="shared" si="0"/>
        <v>0</v>
      </c>
      <c r="U87" s="78">
        <f t="shared" si="0"/>
        <v>0</v>
      </c>
      <c r="V87" s="78">
        <f t="shared" si="0"/>
        <v>0</v>
      </c>
      <c r="W87" s="78">
        <f t="shared" si="0"/>
        <v>0</v>
      </c>
      <c r="X87" s="78">
        <f t="shared" si="0"/>
        <v>0</v>
      </c>
      <c r="Y87" s="78">
        <f t="shared" si="0"/>
        <v>0</v>
      </c>
      <c r="Z87" s="78">
        <f t="shared" si="0"/>
        <v>0</v>
      </c>
      <c r="AA87" s="78">
        <f t="shared" si="0"/>
        <v>0</v>
      </c>
      <c r="AB87" s="78">
        <f t="shared" si="0"/>
        <v>0</v>
      </c>
      <c r="AC87" s="78">
        <f t="shared" si="0"/>
        <v>0</v>
      </c>
      <c r="AD87" s="78">
        <f t="shared" si="0"/>
        <v>0</v>
      </c>
      <c r="AE87" s="78">
        <f t="shared" si="0"/>
        <v>0</v>
      </c>
      <c r="AF87" s="78">
        <f t="shared" si="0"/>
        <v>0</v>
      </c>
      <c r="AG87" s="78">
        <f t="shared" si="0"/>
        <v>0</v>
      </c>
      <c r="AH87" s="78">
        <f t="shared" si="0"/>
        <v>0</v>
      </c>
      <c r="AI87" s="78">
        <f t="shared" si="0"/>
        <v>0</v>
      </c>
    </row>
    <row r="88" spans="1:35" ht="13.5" thickBot="1" x14ac:dyDescent="0.25">
      <c r="A88" s="174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</row>
    <row r="89" spans="1:35" s="30" customFormat="1" ht="13.5" thickBot="1" x14ac:dyDescent="0.25">
      <c r="A89" s="175" t="s">
        <v>139</v>
      </c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2"/>
    </row>
    <row r="90" spans="1:35" x14ac:dyDescent="0.2"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</row>
    <row r="91" spans="1:35" x14ac:dyDescent="0.2">
      <c r="A91" s="172" t="s">
        <v>175</v>
      </c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</row>
    <row r="92" spans="1:35" x14ac:dyDescent="0.2"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</row>
    <row r="93" spans="1:35" ht="25.5" x14ac:dyDescent="0.2">
      <c r="A93" s="171" t="s">
        <v>211</v>
      </c>
      <c r="B93" s="77">
        <v>509.9</v>
      </c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</row>
    <row r="94" spans="1:35" x14ac:dyDescent="0.2">
      <c r="A94" s="171" t="s">
        <v>212</v>
      </c>
      <c r="B94" s="77">
        <v>20000</v>
      </c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</row>
    <row r="95" spans="1:35" x14ac:dyDescent="0.2">
      <c r="A95" s="171" t="s">
        <v>322</v>
      </c>
      <c r="B95" s="77"/>
      <c r="C95" s="77"/>
      <c r="D95" s="77"/>
      <c r="E95" s="77">
        <v>170</v>
      </c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</row>
    <row r="96" spans="1:35" x14ac:dyDescent="0.2">
      <c r="A96" s="171" t="s">
        <v>337</v>
      </c>
      <c r="B96" s="77"/>
      <c r="C96" s="77"/>
      <c r="D96" s="77"/>
      <c r="E96" s="77">
        <v>6732</v>
      </c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</row>
    <row r="97" spans="1:35" x14ac:dyDescent="0.2"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</row>
    <row r="98" spans="1:35" x14ac:dyDescent="0.2"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</row>
    <row r="99" spans="1:35" x14ac:dyDescent="0.2"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</row>
    <row r="100" spans="1:35" x14ac:dyDescent="0.2"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</row>
    <row r="101" spans="1:35" x14ac:dyDescent="0.2"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</row>
    <row r="102" spans="1:35" x14ac:dyDescent="0.2"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</row>
    <row r="103" spans="1:35" x14ac:dyDescent="0.2">
      <c r="A103" s="172" t="s">
        <v>174</v>
      </c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</row>
    <row r="104" spans="1:35" x14ac:dyDescent="0.2"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</row>
    <row r="105" spans="1:35" ht="25.5" x14ac:dyDescent="0.2">
      <c r="A105" s="171" t="s">
        <v>303</v>
      </c>
      <c r="B105" s="77">
        <v>1207</v>
      </c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</row>
    <row r="106" spans="1:35" x14ac:dyDescent="0.2">
      <c r="A106" s="201" t="s">
        <v>358</v>
      </c>
      <c r="B106" s="77"/>
      <c r="C106" s="77"/>
      <c r="D106" s="77"/>
      <c r="E106" s="77">
        <v>3426.72</v>
      </c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</row>
    <row r="107" spans="1:35" x14ac:dyDescent="0.2"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</row>
    <row r="108" spans="1:35" x14ac:dyDescent="0.2"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</row>
    <row r="109" spans="1:35" x14ac:dyDescent="0.2"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</row>
    <row r="110" spans="1:35" x14ac:dyDescent="0.2"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</row>
    <row r="111" spans="1:35" x14ac:dyDescent="0.2"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</row>
    <row r="112" spans="1:35" x14ac:dyDescent="0.2"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</row>
    <row r="113" spans="1:35" x14ac:dyDescent="0.2"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</row>
    <row r="114" spans="1:35" x14ac:dyDescent="0.2"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</row>
    <row r="115" spans="1:35" x14ac:dyDescent="0.2"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</row>
    <row r="116" spans="1:35" x14ac:dyDescent="0.2"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</row>
    <row r="117" spans="1:35" s="30" customFormat="1" x14ac:dyDescent="0.2">
      <c r="A117" s="172" t="s">
        <v>140</v>
      </c>
      <c r="B117" s="78">
        <f>SUM(B89:B116)</f>
        <v>21716.9</v>
      </c>
      <c r="C117" s="78"/>
      <c r="D117" s="78"/>
      <c r="E117" s="78">
        <f>SUM(E89:E116)</f>
        <v>10328.719999999999</v>
      </c>
      <c r="F117" s="78"/>
      <c r="G117" s="78"/>
      <c r="H117" s="78">
        <f>SUM(H89:H116)</f>
        <v>0</v>
      </c>
      <c r="I117" s="78"/>
      <c r="J117" s="78"/>
      <c r="K117" s="78">
        <f>SUM(K89:K116)</f>
        <v>0</v>
      </c>
      <c r="L117" s="78"/>
      <c r="M117" s="78"/>
      <c r="N117" s="78">
        <f>SUM(N89:N116)</f>
        <v>0</v>
      </c>
      <c r="O117" s="78"/>
      <c r="P117" s="78"/>
      <c r="Q117" s="78">
        <f>SUM(Q89:Q116)</f>
        <v>0</v>
      </c>
      <c r="R117" s="78"/>
      <c r="S117" s="78"/>
      <c r="T117" s="78">
        <f>SUM(T89:T116)</f>
        <v>0</v>
      </c>
      <c r="U117" s="78"/>
      <c r="V117" s="78"/>
      <c r="W117" s="78">
        <f>SUM(W89:W116)</f>
        <v>0</v>
      </c>
      <c r="X117" s="78"/>
      <c r="Y117" s="78"/>
      <c r="Z117" s="78">
        <f>SUM(Z89:Z116)</f>
        <v>0</v>
      </c>
      <c r="AA117" s="78"/>
      <c r="AB117" s="78"/>
      <c r="AC117" s="78">
        <f>SUM(AC89:AC116)</f>
        <v>0</v>
      </c>
      <c r="AD117" s="78"/>
      <c r="AE117" s="78"/>
      <c r="AF117" s="78">
        <f>SUM(AF89:AF116)</f>
        <v>0</v>
      </c>
      <c r="AG117" s="78"/>
      <c r="AH117" s="78"/>
      <c r="AI117" s="78">
        <f>SUM(AI89:AI116)</f>
        <v>0</v>
      </c>
    </row>
    <row r="118" spans="1:35" ht="13.5" thickBot="1" x14ac:dyDescent="0.25">
      <c r="A118" s="174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</row>
    <row r="119" spans="1:35" ht="13.5" thickBot="1" x14ac:dyDescent="0.25">
      <c r="A119" s="176" t="s">
        <v>141</v>
      </c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</row>
    <row r="121" spans="1:35" x14ac:dyDescent="0.2">
      <c r="A121" s="172" t="s">
        <v>141</v>
      </c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</row>
    <row r="122" spans="1:35" x14ac:dyDescent="0.2">
      <c r="A122" s="172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</row>
    <row r="123" spans="1:35" x14ac:dyDescent="0.2">
      <c r="A123" s="172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</row>
    <row r="124" spans="1:35" x14ac:dyDescent="0.2">
      <c r="A124" s="172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</row>
    <row r="125" spans="1:35" x14ac:dyDescent="0.2">
      <c r="A125" s="172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</row>
    <row r="126" spans="1:35" x14ac:dyDescent="0.2"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</row>
    <row r="127" spans="1:35" x14ac:dyDescent="0.2">
      <c r="A127" s="172" t="s">
        <v>176</v>
      </c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</row>
    <row r="128" spans="1:35" x14ac:dyDescent="0.2">
      <c r="A128" s="172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</row>
    <row r="129" spans="1:35" x14ac:dyDescent="0.2">
      <c r="A129" s="172" t="s">
        <v>293</v>
      </c>
      <c r="B129" s="77">
        <v>1362</v>
      </c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</row>
    <row r="130" spans="1:35" x14ac:dyDescent="0.2">
      <c r="A130" s="172" t="s">
        <v>294</v>
      </c>
      <c r="B130" s="77">
        <v>3634.05</v>
      </c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</row>
    <row r="131" spans="1:35" x14ac:dyDescent="0.2">
      <c r="A131" s="172" t="s">
        <v>295</v>
      </c>
      <c r="B131" s="77">
        <v>2970</v>
      </c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</row>
    <row r="132" spans="1:35" x14ac:dyDescent="0.2">
      <c r="A132" s="172" t="s">
        <v>296</v>
      </c>
      <c r="B132" s="77">
        <v>660</v>
      </c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</row>
    <row r="133" spans="1:35" x14ac:dyDescent="0.2">
      <c r="A133" s="172" t="s">
        <v>297</v>
      </c>
      <c r="B133" s="77">
        <v>192.5</v>
      </c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</row>
    <row r="134" spans="1:35" x14ac:dyDescent="0.2">
      <c r="A134" s="172" t="s">
        <v>298</v>
      </c>
      <c r="B134" s="77">
        <v>381.06</v>
      </c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</row>
    <row r="135" spans="1:35" x14ac:dyDescent="0.2">
      <c r="A135" s="172" t="s">
        <v>299</v>
      </c>
      <c r="B135" s="77">
        <v>1320</v>
      </c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</row>
    <row r="136" spans="1:35" x14ac:dyDescent="0.2">
      <c r="A136" s="172" t="s">
        <v>300</v>
      </c>
      <c r="B136" s="77">
        <v>957</v>
      </c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</row>
    <row r="137" spans="1:35" x14ac:dyDescent="0.2">
      <c r="A137" s="172" t="s">
        <v>301</v>
      </c>
      <c r="B137" s="77">
        <v>1947</v>
      </c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</row>
    <row r="138" spans="1:35" x14ac:dyDescent="0.2">
      <c r="A138" s="172" t="s">
        <v>302</v>
      </c>
      <c r="B138" s="77">
        <v>1947</v>
      </c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</row>
    <row r="139" spans="1:35" x14ac:dyDescent="0.2">
      <c r="A139" s="172" t="s">
        <v>353</v>
      </c>
      <c r="B139" s="77"/>
      <c r="C139" s="77"/>
      <c r="D139" s="77"/>
      <c r="E139" s="77">
        <v>4125</v>
      </c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</row>
    <row r="140" spans="1:35" x14ac:dyDescent="0.2">
      <c r="A140" s="172" t="s">
        <v>298</v>
      </c>
      <c r="B140" s="77"/>
      <c r="C140" s="77"/>
      <c r="D140" s="77"/>
      <c r="E140" s="77">
        <v>596.02</v>
      </c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</row>
    <row r="141" spans="1:35" x14ac:dyDescent="0.2">
      <c r="A141" s="172" t="s">
        <v>297</v>
      </c>
      <c r="B141" s="77"/>
      <c r="C141" s="77"/>
      <c r="D141" s="77"/>
      <c r="E141" s="77">
        <v>192.5</v>
      </c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</row>
    <row r="142" spans="1:35" x14ac:dyDescent="0.2">
      <c r="A142" s="172" t="s">
        <v>354</v>
      </c>
      <c r="B142" s="77"/>
      <c r="C142" s="77"/>
      <c r="D142" s="77"/>
      <c r="E142" s="77">
        <v>1320</v>
      </c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</row>
    <row r="143" spans="1:35" x14ac:dyDescent="0.2">
      <c r="A143" s="172" t="s">
        <v>355</v>
      </c>
      <c r="B143" s="77"/>
      <c r="C143" s="77"/>
      <c r="D143" s="77"/>
      <c r="E143" s="77">
        <v>2805</v>
      </c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</row>
    <row r="144" spans="1:35" x14ac:dyDescent="0.2">
      <c r="A144" s="172" t="s">
        <v>356</v>
      </c>
      <c r="B144" s="77"/>
      <c r="C144" s="77"/>
      <c r="D144" s="77"/>
      <c r="E144" s="77">
        <v>1320</v>
      </c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</row>
    <row r="145" spans="1:35" x14ac:dyDescent="0.2">
      <c r="A145" s="172" t="s">
        <v>357</v>
      </c>
      <c r="B145" s="77"/>
      <c r="C145" s="77"/>
      <c r="D145" s="77"/>
      <c r="E145" s="77">
        <v>4356</v>
      </c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</row>
    <row r="146" spans="1:35" x14ac:dyDescent="0.2">
      <c r="A146" s="172" t="s">
        <v>366</v>
      </c>
      <c r="B146" s="77"/>
      <c r="C146" s="77"/>
      <c r="D146" s="77"/>
      <c r="E146" s="77"/>
      <c r="F146" s="77"/>
      <c r="G146" s="77"/>
      <c r="H146" s="77">
        <v>950.4</v>
      </c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</row>
    <row r="147" spans="1:35" x14ac:dyDescent="0.2">
      <c r="A147" s="172" t="s">
        <v>367</v>
      </c>
      <c r="B147" s="77"/>
      <c r="C147" s="77"/>
      <c r="D147" s="77"/>
      <c r="E147" s="77"/>
      <c r="F147" s="77"/>
      <c r="G147" s="77"/>
      <c r="H147" s="77">
        <v>832.24</v>
      </c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</row>
    <row r="148" spans="1:35" x14ac:dyDescent="0.2">
      <c r="A148" s="172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</row>
    <row r="149" spans="1:35" x14ac:dyDescent="0.2">
      <c r="A149" s="172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</row>
    <row r="150" spans="1:35" x14ac:dyDescent="0.2"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</row>
    <row r="151" spans="1:35" x14ac:dyDescent="0.2"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</row>
    <row r="152" spans="1:35" s="30" customFormat="1" x14ac:dyDescent="0.2">
      <c r="A152" s="172" t="s">
        <v>142</v>
      </c>
      <c r="B152" s="78">
        <f>SUM(B119:B151)</f>
        <v>15370.609999999999</v>
      </c>
      <c r="C152" s="78"/>
      <c r="D152" s="78"/>
      <c r="E152" s="78">
        <f>SUM(E119:E151)</f>
        <v>14714.52</v>
      </c>
      <c r="F152" s="78"/>
      <c r="G152" s="78"/>
      <c r="H152" s="78">
        <f>SUM(H119:H151)</f>
        <v>1782.6399999999999</v>
      </c>
      <c r="I152" s="78"/>
      <c r="J152" s="78"/>
      <c r="K152" s="78">
        <f>SUM(K119:K151)</f>
        <v>0</v>
      </c>
      <c r="L152" s="78"/>
      <c r="M152" s="78"/>
      <c r="N152" s="78">
        <f>SUM(N119:N151)</f>
        <v>0</v>
      </c>
      <c r="O152" s="78"/>
      <c r="P152" s="78"/>
      <c r="Q152" s="78">
        <f>SUM(Q119:Q151)</f>
        <v>0</v>
      </c>
      <c r="R152" s="78"/>
      <c r="S152" s="78"/>
      <c r="T152" s="78">
        <f>SUM(T119:T151)</f>
        <v>0</v>
      </c>
      <c r="U152" s="78"/>
      <c r="V152" s="78"/>
      <c r="W152" s="78">
        <f>SUM(W119:W151)</f>
        <v>0</v>
      </c>
      <c r="X152" s="78"/>
      <c r="Y152" s="78"/>
      <c r="Z152" s="78">
        <f>SUM(Z119:Z151)</f>
        <v>0</v>
      </c>
      <c r="AA152" s="78"/>
      <c r="AB152" s="78"/>
      <c r="AC152" s="78">
        <f>SUM(AC119:AC151)</f>
        <v>0</v>
      </c>
      <c r="AD152" s="78"/>
      <c r="AE152" s="78"/>
      <c r="AF152" s="78">
        <f>SUM(AF119:AF151)</f>
        <v>0</v>
      </c>
      <c r="AG152" s="78"/>
      <c r="AH152" s="78"/>
      <c r="AI152" s="78">
        <f>SUM(AI119:AI151)</f>
        <v>0</v>
      </c>
    </row>
    <row r="153" spans="1:35" ht="13.5" thickBot="1" x14ac:dyDescent="0.25">
      <c r="A153" s="174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</row>
    <row r="154" spans="1:35" s="30" customFormat="1" ht="13.5" thickBot="1" x14ac:dyDescent="0.25">
      <c r="A154" s="168" t="s">
        <v>160</v>
      </c>
      <c r="B154" s="76">
        <f t="shared" ref="B154:AI154" si="1">B80-B87-B117-B152</f>
        <v>44627.549999999996</v>
      </c>
      <c r="C154" s="76">
        <f t="shared" si="1"/>
        <v>0</v>
      </c>
      <c r="D154" s="76">
        <f t="shared" si="1"/>
        <v>0</v>
      </c>
      <c r="E154" s="76">
        <f t="shared" si="1"/>
        <v>13164.159999999993</v>
      </c>
      <c r="F154" s="76">
        <f t="shared" si="1"/>
        <v>0</v>
      </c>
      <c r="G154" s="76">
        <f t="shared" si="1"/>
        <v>0</v>
      </c>
      <c r="H154" s="76">
        <f>H80-H87-H117-H152</f>
        <v>12643.01</v>
      </c>
      <c r="I154" s="76">
        <f t="shared" si="1"/>
        <v>0</v>
      </c>
      <c r="J154" s="76">
        <f t="shared" si="1"/>
        <v>0</v>
      </c>
      <c r="K154" s="76">
        <f t="shared" si="1"/>
        <v>0</v>
      </c>
      <c r="L154" s="76">
        <f t="shared" si="1"/>
        <v>0</v>
      </c>
      <c r="M154" s="76">
        <f t="shared" si="1"/>
        <v>0</v>
      </c>
      <c r="N154" s="76">
        <f t="shared" si="1"/>
        <v>0</v>
      </c>
      <c r="O154" s="76">
        <f t="shared" si="1"/>
        <v>0</v>
      </c>
      <c r="P154" s="76">
        <f t="shared" si="1"/>
        <v>0</v>
      </c>
      <c r="Q154" s="76">
        <f t="shared" si="1"/>
        <v>0</v>
      </c>
      <c r="R154" s="76">
        <f t="shared" si="1"/>
        <v>0</v>
      </c>
      <c r="S154" s="76">
        <f t="shared" si="1"/>
        <v>0</v>
      </c>
      <c r="T154" s="76">
        <f t="shared" si="1"/>
        <v>0</v>
      </c>
      <c r="U154" s="76">
        <f t="shared" si="1"/>
        <v>0</v>
      </c>
      <c r="V154" s="76">
        <f t="shared" si="1"/>
        <v>0</v>
      </c>
      <c r="W154" s="76">
        <f t="shared" si="1"/>
        <v>0</v>
      </c>
      <c r="X154" s="76">
        <f t="shared" si="1"/>
        <v>0</v>
      </c>
      <c r="Y154" s="76">
        <f t="shared" si="1"/>
        <v>0</v>
      </c>
      <c r="Z154" s="76">
        <f t="shared" si="1"/>
        <v>0</v>
      </c>
      <c r="AA154" s="76">
        <f t="shared" si="1"/>
        <v>0</v>
      </c>
      <c r="AB154" s="76">
        <f t="shared" si="1"/>
        <v>0</v>
      </c>
      <c r="AC154" s="76">
        <f t="shared" si="1"/>
        <v>0</v>
      </c>
      <c r="AD154" s="76">
        <f t="shared" si="1"/>
        <v>0</v>
      </c>
      <c r="AE154" s="76">
        <f t="shared" si="1"/>
        <v>0</v>
      </c>
      <c r="AF154" s="76">
        <f t="shared" si="1"/>
        <v>0</v>
      </c>
      <c r="AG154" s="76">
        <f t="shared" si="1"/>
        <v>0</v>
      </c>
      <c r="AH154" s="76">
        <f t="shared" si="1"/>
        <v>0</v>
      </c>
      <c r="AI154" s="76">
        <f t="shared" si="1"/>
        <v>0</v>
      </c>
    </row>
    <row r="155" spans="1:35" x14ac:dyDescent="0.2"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</row>
    <row r="156" spans="1:35" ht="13.5" thickBot="1" x14ac:dyDescent="0.25"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157"/>
      <c r="U156" s="157"/>
      <c r="V156" s="157"/>
      <c r="W156" s="157"/>
      <c r="X156" s="157"/>
      <c r="Y156" s="157"/>
      <c r="Z156" s="157"/>
      <c r="AA156" s="157"/>
      <c r="AB156" s="157"/>
      <c r="AC156" s="157"/>
      <c r="AD156" s="157"/>
      <c r="AE156" s="157"/>
      <c r="AF156" s="157"/>
      <c r="AG156" s="157"/>
      <c r="AH156" s="157"/>
      <c r="AI156" s="157"/>
    </row>
    <row r="157" spans="1:35" ht="13.5" thickBot="1" x14ac:dyDescent="0.25">
      <c r="A157" s="177" t="s">
        <v>159</v>
      </c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158"/>
      <c r="Z157" s="158"/>
      <c r="AA157" s="158"/>
      <c r="AB157" s="158"/>
      <c r="AC157" s="158"/>
      <c r="AD157" s="158"/>
      <c r="AE157" s="158"/>
      <c r="AF157" s="158"/>
      <c r="AG157" s="158"/>
      <c r="AH157" s="158"/>
      <c r="AI157" s="159"/>
    </row>
    <row r="158" spans="1:35" x14ac:dyDescent="0.2">
      <c r="A158" s="178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</row>
    <row r="159" spans="1:35" ht="25.5" x14ac:dyDescent="0.2">
      <c r="A159" s="178" t="s">
        <v>177</v>
      </c>
      <c r="B159" s="84">
        <v>1400</v>
      </c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</row>
    <row r="160" spans="1:35" ht="25.5" x14ac:dyDescent="0.2">
      <c r="A160" s="178" t="s">
        <v>178</v>
      </c>
      <c r="B160" s="84">
        <v>420</v>
      </c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</row>
    <row r="161" spans="1:35" ht="25.5" x14ac:dyDescent="0.2">
      <c r="A161" s="178" t="s">
        <v>179</v>
      </c>
      <c r="B161" s="84">
        <v>420</v>
      </c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</row>
    <row r="162" spans="1:35" ht="25.5" x14ac:dyDescent="0.2">
      <c r="A162" s="178" t="s">
        <v>180</v>
      </c>
      <c r="B162" s="84">
        <v>2618</v>
      </c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</row>
    <row r="163" spans="1:35" ht="25.5" x14ac:dyDescent="0.2">
      <c r="A163" s="178" t="s">
        <v>181</v>
      </c>
      <c r="B163" s="84">
        <v>1580</v>
      </c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</row>
    <row r="164" spans="1:35" ht="25.5" x14ac:dyDescent="0.2">
      <c r="A164" s="178" t="s">
        <v>182</v>
      </c>
      <c r="B164" s="84">
        <v>674.33</v>
      </c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</row>
    <row r="165" spans="1:35" ht="25.5" x14ac:dyDescent="0.2">
      <c r="A165" s="178" t="s">
        <v>183</v>
      </c>
      <c r="B165" s="84">
        <v>875</v>
      </c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</row>
    <row r="166" spans="1:35" ht="25.5" x14ac:dyDescent="0.2">
      <c r="A166" s="178" t="s">
        <v>184</v>
      </c>
      <c r="B166" s="84">
        <v>217.5</v>
      </c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</row>
    <row r="167" spans="1:35" ht="25.5" x14ac:dyDescent="0.2">
      <c r="A167" s="178" t="s">
        <v>185</v>
      </c>
      <c r="B167" s="84">
        <v>2640</v>
      </c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</row>
    <row r="168" spans="1:35" ht="25.5" x14ac:dyDescent="0.2">
      <c r="A168" s="178" t="s">
        <v>186</v>
      </c>
      <c r="B168" s="84">
        <v>870</v>
      </c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</row>
    <row r="169" spans="1:35" ht="25.5" x14ac:dyDescent="0.2">
      <c r="A169" s="178" t="s">
        <v>187</v>
      </c>
      <c r="B169" s="84">
        <v>390</v>
      </c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</row>
    <row r="170" spans="1:35" ht="25.5" x14ac:dyDescent="0.2">
      <c r="A170" s="178" t="s">
        <v>188</v>
      </c>
      <c r="B170" s="84">
        <v>910</v>
      </c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</row>
    <row r="171" spans="1:35" ht="25.5" x14ac:dyDescent="0.2">
      <c r="A171" s="178" t="s">
        <v>189</v>
      </c>
      <c r="B171" s="84">
        <v>405</v>
      </c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</row>
    <row r="172" spans="1:35" ht="25.5" x14ac:dyDescent="0.2">
      <c r="A172" s="178" t="s">
        <v>324</v>
      </c>
      <c r="B172" s="84"/>
      <c r="C172" s="84"/>
      <c r="D172" s="84"/>
      <c r="E172" s="84">
        <v>6000</v>
      </c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</row>
    <row r="173" spans="1:35" ht="25.5" x14ac:dyDescent="0.2">
      <c r="A173" s="178" t="s">
        <v>325</v>
      </c>
      <c r="B173" s="84"/>
      <c r="C173" s="84"/>
      <c r="D173" s="84"/>
      <c r="E173" s="84">
        <v>950</v>
      </c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</row>
    <row r="174" spans="1:35" ht="25.5" x14ac:dyDescent="0.2">
      <c r="A174" s="178" t="s">
        <v>326</v>
      </c>
      <c r="B174" s="84"/>
      <c r="C174" s="84"/>
      <c r="D174" s="84"/>
      <c r="E174" s="84">
        <v>330</v>
      </c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</row>
    <row r="175" spans="1:35" ht="25.5" x14ac:dyDescent="0.2">
      <c r="A175" s="178" t="s">
        <v>327</v>
      </c>
      <c r="B175" s="84"/>
      <c r="C175" s="84"/>
      <c r="D175" s="84"/>
      <c r="E175" s="84">
        <v>420</v>
      </c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</row>
    <row r="176" spans="1:35" ht="25.5" x14ac:dyDescent="0.2">
      <c r="A176" s="178" t="s">
        <v>328</v>
      </c>
      <c r="B176" s="84"/>
      <c r="C176" s="84"/>
      <c r="D176" s="84"/>
      <c r="E176" s="84">
        <v>660</v>
      </c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</row>
    <row r="177" spans="1:35" x14ac:dyDescent="0.2">
      <c r="A177" s="178" t="s">
        <v>329</v>
      </c>
      <c r="B177" s="84"/>
      <c r="C177" s="84"/>
      <c r="D177" s="84"/>
      <c r="E177" s="84">
        <v>357</v>
      </c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</row>
    <row r="178" spans="1:35" ht="25.5" x14ac:dyDescent="0.2">
      <c r="A178" s="178" t="s">
        <v>330</v>
      </c>
      <c r="B178" s="84"/>
      <c r="C178" s="84"/>
      <c r="D178" s="84"/>
      <c r="E178" s="84">
        <v>315</v>
      </c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</row>
    <row r="179" spans="1:35" ht="25.5" x14ac:dyDescent="0.2">
      <c r="A179" s="178" t="s">
        <v>331</v>
      </c>
      <c r="B179" s="84"/>
      <c r="C179" s="84"/>
      <c r="D179" s="84"/>
      <c r="E179" s="84">
        <v>3560</v>
      </c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</row>
    <row r="180" spans="1:35" ht="25.5" x14ac:dyDescent="0.2">
      <c r="A180" s="178" t="s">
        <v>332</v>
      </c>
      <c r="B180" s="84"/>
      <c r="C180" s="84"/>
      <c r="D180" s="84"/>
      <c r="E180" s="84">
        <v>405</v>
      </c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</row>
    <row r="181" spans="1:35" ht="25.5" x14ac:dyDescent="0.2">
      <c r="A181" s="178" t="s">
        <v>333</v>
      </c>
      <c r="B181" s="84"/>
      <c r="C181" s="84"/>
      <c r="D181" s="84"/>
      <c r="E181" s="84">
        <v>1540</v>
      </c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</row>
    <row r="182" spans="1:35" ht="25.5" x14ac:dyDescent="0.2">
      <c r="A182" s="178" t="s">
        <v>334</v>
      </c>
      <c r="B182" s="84"/>
      <c r="C182" s="84"/>
      <c r="D182" s="84"/>
      <c r="E182" s="84">
        <v>3200</v>
      </c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</row>
    <row r="183" spans="1:35" ht="25.5" x14ac:dyDescent="0.2">
      <c r="A183" s="178" t="s">
        <v>335</v>
      </c>
      <c r="B183" s="84"/>
      <c r="C183" s="84"/>
      <c r="D183" s="84"/>
      <c r="E183" s="84">
        <v>690</v>
      </c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</row>
    <row r="184" spans="1:35" ht="25.5" x14ac:dyDescent="0.2">
      <c r="A184" s="178" t="s">
        <v>336</v>
      </c>
      <c r="B184" s="84"/>
      <c r="C184" s="84"/>
      <c r="D184" s="84"/>
      <c r="E184" s="84">
        <v>4100</v>
      </c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</row>
    <row r="185" spans="1:35" ht="25.5" x14ac:dyDescent="0.2">
      <c r="A185" s="178" t="s">
        <v>369</v>
      </c>
      <c r="B185" s="84"/>
      <c r="C185" s="84"/>
      <c r="D185" s="84"/>
      <c r="E185" s="84"/>
      <c r="F185" s="84"/>
      <c r="G185" s="84"/>
      <c r="H185" s="84">
        <v>397.5</v>
      </c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</row>
    <row r="186" spans="1:35" ht="25.5" x14ac:dyDescent="0.2">
      <c r="A186" s="178" t="s">
        <v>370</v>
      </c>
      <c r="B186" s="84"/>
      <c r="C186" s="84"/>
      <c r="D186" s="84"/>
      <c r="E186" s="84"/>
      <c r="F186" s="84"/>
      <c r="G186" s="84"/>
      <c r="H186" s="84">
        <v>1680</v>
      </c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</row>
    <row r="187" spans="1:35" ht="25.5" x14ac:dyDescent="0.2">
      <c r="A187" s="178" t="s">
        <v>371</v>
      </c>
      <c r="B187" s="84"/>
      <c r="C187" s="84"/>
      <c r="D187" s="84"/>
      <c r="E187" s="84"/>
      <c r="F187" s="84"/>
      <c r="G187" s="84"/>
      <c r="H187" s="84">
        <v>1330</v>
      </c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</row>
    <row r="188" spans="1:35" ht="25.5" x14ac:dyDescent="0.2">
      <c r="A188" s="178" t="s">
        <v>372</v>
      </c>
      <c r="B188" s="84"/>
      <c r="C188" s="84"/>
      <c r="D188" s="84"/>
      <c r="E188" s="84"/>
      <c r="F188" s="84"/>
      <c r="G188" s="84"/>
      <c r="H188" s="84">
        <v>420</v>
      </c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</row>
    <row r="189" spans="1:35" ht="25.5" x14ac:dyDescent="0.2">
      <c r="A189" s="178" t="s">
        <v>373</v>
      </c>
      <c r="B189" s="84"/>
      <c r="C189" s="84"/>
      <c r="D189" s="84"/>
      <c r="E189" s="84"/>
      <c r="F189" s="84"/>
      <c r="G189" s="84"/>
      <c r="H189" s="84">
        <v>330</v>
      </c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</row>
    <row r="190" spans="1:35" ht="25.5" x14ac:dyDescent="0.2">
      <c r="A190" s="178" t="s">
        <v>374</v>
      </c>
      <c r="B190" s="84"/>
      <c r="C190" s="84"/>
      <c r="D190" s="84"/>
      <c r="E190" s="84"/>
      <c r="F190" s="84"/>
      <c r="G190" s="84"/>
      <c r="H190" s="84">
        <v>900</v>
      </c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</row>
    <row r="191" spans="1:35" ht="25.5" x14ac:dyDescent="0.2">
      <c r="A191" s="178" t="s">
        <v>375</v>
      </c>
      <c r="B191" s="84"/>
      <c r="C191" s="84"/>
      <c r="D191" s="84"/>
      <c r="E191" s="84"/>
      <c r="F191" s="84"/>
      <c r="G191" s="84"/>
      <c r="H191" s="84">
        <v>315</v>
      </c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</row>
    <row r="192" spans="1:35" ht="25.5" x14ac:dyDescent="0.2">
      <c r="A192" s="178" t="s">
        <v>376</v>
      </c>
      <c r="B192" s="84"/>
      <c r="C192" s="84"/>
      <c r="D192" s="84"/>
      <c r="E192" s="84"/>
      <c r="F192" s="84"/>
      <c r="G192" s="84"/>
      <c r="H192" s="84">
        <v>1120</v>
      </c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</row>
    <row r="193" spans="1:35" ht="25.5" x14ac:dyDescent="0.2">
      <c r="A193" s="178" t="s">
        <v>377</v>
      </c>
      <c r="B193" s="84"/>
      <c r="C193" s="84"/>
      <c r="D193" s="84"/>
      <c r="E193" s="84"/>
      <c r="F193" s="84"/>
      <c r="G193" s="84"/>
      <c r="H193" s="84">
        <v>600</v>
      </c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</row>
    <row r="194" spans="1:35" ht="25.5" x14ac:dyDescent="0.2">
      <c r="A194" s="178" t="s">
        <v>378</v>
      </c>
      <c r="B194" s="84"/>
      <c r="C194" s="84"/>
      <c r="D194" s="84"/>
      <c r="E194" s="84"/>
      <c r="F194" s="84"/>
      <c r="G194" s="84"/>
      <c r="H194" s="84">
        <v>330</v>
      </c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</row>
    <row r="195" spans="1:35" ht="25.5" x14ac:dyDescent="0.2">
      <c r="A195" s="178" t="s">
        <v>379</v>
      </c>
      <c r="B195" s="84"/>
      <c r="C195" s="84"/>
      <c r="D195" s="84"/>
      <c r="E195" s="84"/>
      <c r="F195" s="84"/>
      <c r="G195" s="84"/>
      <c r="H195" s="84">
        <v>690</v>
      </c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</row>
    <row r="196" spans="1:35" ht="25.5" x14ac:dyDescent="0.2">
      <c r="A196" s="178" t="s">
        <v>380</v>
      </c>
      <c r="B196" s="84"/>
      <c r="C196" s="84"/>
      <c r="D196" s="84"/>
      <c r="E196" s="84"/>
      <c r="F196" s="84"/>
      <c r="G196" s="84"/>
      <c r="H196" s="84">
        <v>690</v>
      </c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</row>
    <row r="197" spans="1:35" ht="25.5" x14ac:dyDescent="0.2">
      <c r="A197" s="178" t="s">
        <v>381</v>
      </c>
      <c r="B197" s="84"/>
      <c r="C197" s="84"/>
      <c r="D197" s="84"/>
      <c r="E197" s="84"/>
      <c r="F197" s="84"/>
      <c r="G197" s="84"/>
      <c r="H197" s="84">
        <v>3300</v>
      </c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</row>
    <row r="198" spans="1:35" ht="25.5" x14ac:dyDescent="0.2">
      <c r="A198" s="178" t="s">
        <v>382</v>
      </c>
      <c r="B198" s="84"/>
      <c r="C198" s="84"/>
      <c r="D198" s="84"/>
      <c r="E198" s="84"/>
      <c r="F198" s="84"/>
      <c r="G198" s="84"/>
      <c r="H198" s="84">
        <v>2600</v>
      </c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</row>
    <row r="199" spans="1:35" ht="25.5" x14ac:dyDescent="0.2">
      <c r="A199" s="178" t="s">
        <v>383</v>
      </c>
      <c r="B199" s="84"/>
      <c r="C199" s="84"/>
      <c r="D199" s="84"/>
      <c r="E199" s="84"/>
      <c r="F199" s="84"/>
      <c r="G199" s="84"/>
      <c r="H199" s="84">
        <v>4500</v>
      </c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</row>
    <row r="200" spans="1:35" ht="25.5" x14ac:dyDescent="0.2">
      <c r="A200" s="178" t="s">
        <v>384</v>
      </c>
      <c r="B200" s="84"/>
      <c r="C200" s="84"/>
      <c r="D200" s="84"/>
      <c r="E200" s="84"/>
      <c r="F200" s="84"/>
      <c r="G200" s="84"/>
      <c r="H200" s="84">
        <v>397.5</v>
      </c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</row>
    <row r="201" spans="1:35" ht="25.5" x14ac:dyDescent="0.2">
      <c r="A201" s="178" t="s">
        <v>385</v>
      </c>
      <c r="B201" s="84"/>
      <c r="C201" s="84"/>
      <c r="D201" s="84"/>
      <c r="E201" s="84"/>
      <c r="F201" s="84"/>
      <c r="G201" s="84"/>
      <c r="H201" s="84">
        <v>930</v>
      </c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</row>
    <row r="202" spans="1:35" ht="25.5" x14ac:dyDescent="0.2">
      <c r="A202" s="178" t="s">
        <v>386</v>
      </c>
      <c r="B202" s="84"/>
      <c r="C202" s="84"/>
      <c r="D202" s="84"/>
      <c r="E202" s="84"/>
      <c r="F202" s="84"/>
      <c r="G202" s="84"/>
      <c r="H202" s="84">
        <v>525</v>
      </c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</row>
    <row r="203" spans="1:35" ht="25.5" x14ac:dyDescent="0.2">
      <c r="A203" s="178" t="s">
        <v>387</v>
      </c>
      <c r="B203" s="84"/>
      <c r="C203" s="84"/>
      <c r="D203" s="84"/>
      <c r="E203" s="84"/>
      <c r="F203" s="84"/>
      <c r="G203" s="84"/>
      <c r="H203" s="84">
        <v>1358</v>
      </c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</row>
    <row r="204" spans="1:35" ht="25.5" x14ac:dyDescent="0.2">
      <c r="A204" s="178" t="s">
        <v>388</v>
      </c>
      <c r="B204" s="84"/>
      <c r="C204" s="84"/>
      <c r="D204" s="84"/>
      <c r="E204" s="84"/>
      <c r="F204" s="84"/>
      <c r="G204" s="84"/>
      <c r="H204" s="84">
        <v>1925</v>
      </c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</row>
    <row r="205" spans="1:35" x14ac:dyDescent="0.2">
      <c r="A205" s="178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</row>
    <row r="206" spans="1:35" x14ac:dyDescent="0.2">
      <c r="A206" s="178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</row>
    <row r="207" spans="1:35" x14ac:dyDescent="0.2">
      <c r="A207" s="178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</row>
    <row r="208" spans="1:35" x14ac:dyDescent="0.2">
      <c r="A208" s="178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</row>
    <row r="209" spans="1:35" x14ac:dyDescent="0.2">
      <c r="A209" s="178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</row>
    <row r="210" spans="1:35" x14ac:dyDescent="0.2">
      <c r="A210" s="178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</row>
    <row r="211" spans="1:35" x14ac:dyDescent="0.2">
      <c r="A211" s="178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</row>
    <row r="212" spans="1:35" x14ac:dyDescent="0.2">
      <c r="A212" s="179" t="s">
        <v>161</v>
      </c>
      <c r="B212" s="84">
        <f>SUM(B158:B211)</f>
        <v>13419.83</v>
      </c>
      <c r="C212" s="84">
        <f t="shared" ref="C212:AI212" si="2">SUM(C158:C211)</f>
        <v>0</v>
      </c>
      <c r="D212" s="84">
        <f t="shared" si="2"/>
        <v>0</v>
      </c>
      <c r="E212" s="84">
        <f t="shared" si="2"/>
        <v>22527</v>
      </c>
      <c r="F212" s="84">
        <f t="shared" si="2"/>
        <v>0</v>
      </c>
      <c r="G212" s="84">
        <f t="shared" si="2"/>
        <v>0</v>
      </c>
      <c r="H212" s="84">
        <f>SUM(H158:H211)</f>
        <v>24338</v>
      </c>
      <c r="I212" s="84">
        <f t="shared" si="2"/>
        <v>0</v>
      </c>
      <c r="J212" s="84">
        <f t="shared" si="2"/>
        <v>0</v>
      </c>
      <c r="K212" s="84">
        <f t="shared" si="2"/>
        <v>0</v>
      </c>
      <c r="L212" s="84">
        <f t="shared" si="2"/>
        <v>0</v>
      </c>
      <c r="M212" s="84">
        <f t="shared" si="2"/>
        <v>0</v>
      </c>
      <c r="N212" s="84">
        <f t="shared" si="2"/>
        <v>0</v>
      </c>
      <c r="O212" s="84">
        <f t="shared" si="2"/>
        <v>0</v>
      </c>
      <c r="P212" s="84">
        <f t="shared" si="2"/>
        <v>0</v>
      </c>
      <c r="Q212" s="84">
        <f t="shared" si="2"/>
        <v>0</v>
      </c>
      <c r="R212" s="84">
        <f t="shared" si="2"/>
        <v>0</v>
      </c>
      <c r="S212" s="84">
        <f t="shared" si="2"/>
        <v>0</v>
      </c>
      <c r="T212" s="84">
        <f t="shared" si="2"/>
        <v>0</v>
      </c>
      <c r="U212" s="84">
        <f t="shared" si="2"/>
        <v>0</v>
      </c>
      <c r="V212" s="84">
        <f t="shared" si="2"/>
        <v>0</v>
      </c>
      <c r="W212" s="84">
        <f t="shared" si="2"/>
        <v>0</v>
      </c>
      <c r="X212" s="84">
        <f t="shared" si="2"/>
        <v>0</v>
      </c>
      <c r="Y212" s="84">
        <f t="shared" si="2"/>
        <v>0</v>
      </c>
      <c r="Z212" s="84">
        <f t="shared" si="2"/>
        <v>0</v>
      </c>
      <c r="AA212" s="84">
        <f t="shared" si="2"/>
        <v>0</v>
      </c>
      <c r="AB212" s="84">
        <f t="shared" si="2"/>
        <v>0</v>
      </c>
      <c r="AC212" s="84">
        <f t="shared" si="2"/>
        <v>0</v>
      </c>
      <c r="AD212" s="84">
        <f t="shared" si="2"/>
        <v>0</v>
      </c>
      <c r="AE212" s="84">
        <f t="shared" si="2"/>
        <v>0</v>
      </c>
      <c r="AF212" s="84">
        <f t="shared" si="2"/>
        <v>0</v>
      </c>
      <c r="AG212" s="84">
        <f t="shared" si="2"/>
        <v>0</v>
      </c>
      <c r="AH212" s="84">
        <f t="shared" si="2"/>
        <v>0</v>
      </c>
      <c r="AI212" s="84">
        <f t="shared" si="2"/>
        <v>0</v>
      </c>
    </row>
    <row r="213" spans="1:35" ht="13.5" thickBot="1" x14ac:dyDescent="0.25">
      <c r="A213" s="178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</row>
    <row r="214" spans="1:35" ht="13.5" thickBot="1" x14ac:dyDescent="0.25">
      <c r="A214" s="177" t="s">
        <v>146</v>
      </c>
      <c r="B214" s="158"/>
      <c r="C214" s="158"/>
      <c r="D214" s="158"/>
      <c r="E214" s="158"/>
      <c r="F214" s="158"/>
      <c r="G214" s="158"/>
      <c r="H214" s="158"/>
      <c r="I214" s="158"/>
      <c r="J214" s="158"/>
      <c r="K214" s="158"/>
      <c r="L214" s="158"/>
      <c r="M214" s="158"/>
      <c r="N214" s="158"/>
      <c r="O214" s="158"/>
      <c r="P214" s="158"/>
      <c r="Q214" s="158"/>
      <c r="R214" s="158"/>
      <c r="S214" s="158"/>
      <c r="T214" s="158"/>
      <c r="U214" s="158"/>
      <c r="V214" s="158"/>
      <c r="W214" s="158"/>
      <c r="X214" s="158"/>
      <c r="Y214" s="158"/>
      <c r="Z214" s="158"/>
      <c r="AA214" s="158"/>
      <c r="AB214" s="158"/>
      <c r="AC214" s="158"/>
      <c r="AD214" s="158"/>
      <c r="AE214" s="158"/>
      <c r="AF214" s="158"/>
      <c r="AG214" s="158"/>
      <c r="AH214" s="158"/>
      <c r="AI214" s="159"/>
    </row>
    <row r="215" spans="1:35" x14ac:dyDescent="0.2">
      <c r="A215" s="178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</row>
    <row r="216" spans="1:35" x14ac:dyDescent="0.2">
      <c r="A216" s="178" t="s">
        <v>191</v>
      </c>
      <c r="B216" s="84">
        <v>2500</v>
      </c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</row>
    <row r="217" spans="1:35" x14ac:dyDescent="0.2">
      <c r="A217" s="178" t="s">
        <v>338</v>
      </c>
      <c r="B217" s="84"/>
      <c r="C217" s="84"/>
      <c r="D217" s="84"/>
      <c r="E217" s="84">
        <v>3000</v>
      </c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</row>
    <row r="218" spans="1:35" x14ac:dyDescent="0.2">
      <c r="A218" s="178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</row>
    <row r="219" spans="1:35" x14ac:dyDescent="0.2">
      <c r="A219" s="178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</row>
    <row r="220" spans="1:35" x14ac:dyDescent="0.2">
      <c r="A220" s="178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</row>
    <row r="221" spans="1:35" x14ac:dyDescent="0.2">
      <c r="A221" s="179" t="s">
        <v>162</v>
      </c>
      <c r="B221" s="84">
        <f>SUM(B215:B220)</f>
        <v>2500</v>
      </c>
      <c r="C221" s="84">
        <f t="shared" ref="C221:AI221" si="3">SUM(C215:C220)</f>
        <v>0</v>
      </c>
      <c r="D221" s="84">
        <f t="shared" si="3"/>
        <v>0</v>
      </c>
      <c r="E221" s="84">
        <f t="shared" si="3"/>
        <v>3000</v>
      </c>
      <c r="F221" s="84">
        <f t="shared" si="3"/>
        <v>0</v>
      </c>
      <c r="G221" s="84">
        <f t="shared" si="3"/>
        <v>0</v>
      </c>
      <c r="H221" s="84">
        <f t="shared" si="3"/>
        <v>0</v>
      </c>
      <c r="I221" s="84">
        <f t="shared" si="3"/>
        <v>0</v>
      </c>
      <c r="J221" s="84">
        <f t="shared" si="3"/>
        <v>0</v>
      </c>
      <c r="K221" s="84">
        <f t="shared" si="3"/>
        <v>0</v>
      </c>
      <c r="L221" s="84">
        <f t="shared" si="3"/>
        <v>0</v>
      </c>
      <c r="M221" s="84">
        <f t="shared" si="3"/>
        <v>0</v>
      </c>
      <c r="N221" s="84">
        <f t="shared" si="3"/>
        <v>0</v>
      </c>
      <c r="O221" s="84">
        <f t="shared" si="3"/>
        <v>0</v>
      </c>
      <c r="P221" s="84">
        <f t="shared" si="3"/>
        <v>0</v>
      </c>
      <c r="Q221" s="84">
        <f t="shared" si="3"/>
        <v>0</v>
      </c>
      <c r="R221" s="84">
        <f t="shared" si="3"/>
        <v>0</v>
      </c>
      <c r="S221" s="84">
        <f t="shared" si="3"/>
        <v>0</v>
      </c>
      <c r="T221" s="84">
        <f t="shared" si="3"/>
        <v>0</v>
      </c>
      <c r="U221" s="84">
        <f t="shared" si="3"/>
        <v>0</v>
      </c>
      <c r="V221" s="84">
        <f t="shared" si="3"/>
        <v>0</v>
      </c>
      <c r="W221" s="84">
        <f t="shared" si="3"/>
        <v>0</v>
      </c>
      <c r="X221" s="84">
        <f t="shared" si="3"/>
        <v>0</v>
      </c>
      <c r="Y221" s="84">
        <f t="shared" si="3"/>
        <v>0</v>
      </c>
      <c r="Z221" s="84">
        <f t="shared" si="3"/>
        <v>0</v>
      </c>
      <c r="AA221" s="84">
        <f t="shared" si="3"/>
        <v>0</v>
      </c>
      <c r="AB221" s="84">
        <f t="shared" si="3"/>
        <v>0</v>
      </c>
      <c r="AC221" s="84">
        <f t="shared" si="3"/>
        <v>0</v>
      </c>
      <c r="AD221" s="84">
        <f t="shared" si="3"/>
        <v>0</v>
      </c>
      <c r="AE221" s="84">
        <f t="shared" si="3"/>
        <v>0</v>
      </c>
      <c r="AF221" s="84">
        <f t="shared" si="3"/>
        <v>0</v>
      </c>
      <c r="AG221" s="84">
        <f t="shared" si="3"/>
        <v>0</v>
      </c>
      <c r="AH221" s="84">
        <f t="shared" si="3"/>
        <v>0</v>
      </c>
      <c r="AI221" s="84">
        <f t="shared" si="3"/>
        <v>0</v>
      </c>
    </row>
    <row r="222" spans="1:35" ht="13.5" thickBot="1" x14ac:dyDescent="0.25">
      <c r="A222" s="178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</row>
    <row r="223" spans="1:35" ht="13.5" thickBot="1" x14ac:dyDescent="0.25">
      <c r="A223" s="177" t="s">
        <v>144</v>
      </c>
      <c r="B223" s="158"/>
      <c r="C223" s="158"/>
      <c r="D223" s="158"/>
      <c r="E223" s="158"/>
      <c r="F223" s="158"/>
      <c r="G223" s="158"/>
      <c r="H223" s="158"/>
      <c r="I223" s="158"/>
      <c r="J223" s="158"/>
      <c r="K223" s="158"/>
      <c r="L223" s="158"/>
      <c r="M223" s="158"/>
      <c r="N223" s="158"/>
      <c r="O223" s="158"/>
      <c r="P223" s="158"/>
      <c r="Q223" s="158"/>
      <c r="R223" s="158"/>
      <c r="S223" s="158"/>
      <c r="T223" s="158"/>
      <c r="U223" s="158"/>
      <c r="V223" s="158"/>
      <c r="W223" s="158"/>
      <c r="X223" s="158"/>
      <c r="Y223" s="158"/>
      <c r="Z223" s="158"/>
      <c r="AA223" s="158"/>
      <c r="AB223" s="158"/>
      <c r="AC223" s="158"/>
      <c r="AD223" s="158"/>
      <c r="AE223" s="158"/>
      <c r="AF223" s="158"/>
      <c r="AG223" s="158"/>
      <c r="AH223" s="158"/>
      <c r="AI223" s="159"/>
    </row>
    <row r="224" spans="1:35" x14ac:dyDescent="0.2">
      <c r="A224" s="178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</row>
    <row r="225" spans="1:35" x14ac:dyDescent="0.2">
      <c r="A225" s="178" t="s">
        <v>190</v>
      </c>
      <c r="B225" s="84">
        <v>4585</v>
      </c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</row>
    <row r="226" spans="1:35" x14ac:dyDescent="0.2">
      <c r="A226" s="178" t="s">
        <v>340</v>
      </c>
      <c r="B226" s="84"/>
      <c r="C226" s="84"/>
      <c r="D226" s="84"/>
      <c r="E226" s="84">
        <v>8312.5</v>
      </c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</row>
    <row r="227" spans="1:35" x14ac:dyDescent="0.2">
      <c r="A227" s="178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</row>
    <row r="228" spans="1:35" x14ac:dyDescent="0.2">
      <c r="A228" s="178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</row>
    <row r="229" spans="1:35" x14ac:dyDescent="0.2">
      <c r="A229" s="178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</row>
    <row r="230" spans="1:35" x14ac:dyDescent="0.2">
      <c r="A230" s="178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</row>
    <row r="231" spans="1:35" x14ac:dyDescent="0.2">
      <c r="A231" s="179" t="s">
        <v>163</v>
      </c>
      <c r="B231" s="84">
        <f>SUM(B224:B230)</f>
        <v>4585</v>
      </c>
      <c r="C231" s="84">
        <f t="shared" ref="C231:AI231" si="4">SUM(C224:C230)</f>
        <v>0</v>
      </c>
      <c r="D231" s="84">
        <f t="shared" si="4"/>
        <v>0</v>
      </c>
      <c r="E231" s="84">
        <f t="shared" si="4"/>
        <v>8312.5</v>
      </c>
      <c r="F231" s="84">
        <f t="shared" si="4"/>
        <v>0</v>
      </c>
      <c r="G231" s="84">
        <f t="shared" si="4"/>
        <v>0</v>
      </c>
      <c r="H231" s="84">
        <f t="shared" si="4"/>
        <v>0</v>
      </c>
      <c r="I231" s="84">
        <f t="shared" si="4"/>
        <v>0</v>
      </c>
      <c r="J231" s="84">
        <f t="shared" si="4"/>
        <v>0</v>
      </c>
      <c r="K231" s="84">
        <f t="shared" si="4"/>
        <v>0</v>
      </c>
      <c r="L231" s="84">
        <f t="shared" si="4"/>
        <v>0</v>
      </c>
      <c r="M231" s="84">
        <f t="shared" si="4"/>
        <v>0</v>
      </c>
      <c r="N231" s="84">
        <f t="shared" si="4"/>
        <v>0</v>
      </c>
      <c r="O231" s="84">
        <f t="shared" si="4"/>
        <v>0</v>
      </c>
      <c r="P231" s="84">
        <f t="shared" si="4"/>
        <v>0</v>
      </c>
      <c r="Q231" s="84">
        <f t="shared" si="4"/>
        <v>0</v>
      </c>
      <c r="R231" s="84">
        <f t="shared" si="4"/>
        <v>0</v>
      </c>
      <c r="S231" s="84">
        <f t="shared" si="4"/>
        <v>0</v>
      </c>
      <c r="T231" s="84">
        <f t="shared" si="4"/>
        <v>0</v>
      </c>
      <c r="U231" s="84">
        <f t="shared" si="4"/>
        <v>0</v>
      </c>
      <c r="V231" s="84">
        <f t="shared" si="4"/>
        <v>0</v>
      </c>
      <c r="W231" s="84">
        <f t="shared" si="4"/>
        <v>0</v>
      </c>
      <c r="X231" s="84">
        <f t="shared" si="4"/>
        <v>0</v>
      </c>
      <c r="Y231" s="84">
        <f t="shared" si="4"/>
        <v>0</v>
      </c>
      <c r="Z231" s="84">
        <f t="shared" si="4"/>
        <v>0</v>
      </c>
      <c r="AA231" s="84">
        <f t="shared" si="4"/>
        <v>0</v>
      </c>
      <c r="AB231" s="84">
        <f t="shared" si="4"/>
        <v>0</v>
      </c>
      <c r="AC231" s="84">
        <f t="shared" si="4"/>
        <v>0</v>
      </c>
      <c r="AD231" s="84">
        <f t="shared" si="4"/>
        <v>0</v>
      </c>
      <c r="AE231" s="84">
        <f t="shared" si="4"/>
        <v>0</v>
      </c>
      <c r="AF231" s="84">
        <f t="shared" si="4"/>
        <v>0</v>
      </c>
      <c r="AG231" s="84">
        <f t="shared" si="4"/>
        <v>0</v>
      </c>
      <c r="AH231" s="84">
        <f t="shared" si="4"/>
        <v>0</v>
      </c>
      <c r="AI231" s="84">
        <f t="shared" si="4"/>
        <v>0</v>
      </c>
    </row>
    <row r="232" spans="1:35" ht="13.5" thickBot="1" x14ac:dyDescent="0.25">
      <c r="A232" s="178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</row>
    <row r="233" spans="1:35" ht="13.5" thickBot="1" x14ac:dyDescent="0.25">
      <c r="A233" s="177" t="s">
        <v>145</v>
      </c>
      <c r="B233" s="158"/>
      <c r="C233" s="158"/>
      <c r="D233" s="158"/>
      <c r="E233" s="158"/>
      <c r="F233" s="158"/>
      <c r="G233" s="158"/>
      <c r="H233" s="158"/>
      <c r="I233" s="158"/>
      <c r="J233" s="158"/>
      <c r="K233" s="158"/>
      <c r="L233" s="158"/>
      <c r="M233" s="158"/>
      <c r="N233" s="158"/>
      <c r="O233" s="158"/>
      <c r="P233" s="158"/>
      <c r="Q233" s="158"/>
      <c r="R233" s="158"/>
      <c r="S233" s="158"/>
      <c r="T233" s="158"/>
      <c r="U233" s="158"/>
      <c r="V233" s="158"/>
      <c r="W233" s="158"/>
      <c r="X233" s="158"/>
      <c r="Y233" s="158"/>
      <c r="Z233" s="158"/>
      <c r="AA233" s="158"/>
      <c r="AB233" s="158"/>
      <c r="AC233" s="158"/>
      <c r="AD233" s="158"/>
      <c r="AE233" s="158"/>
      <c r="AF233" s="158"/>
      <c r="AG233" s="158"/>
      <c r="AH233" s="158"/>
      <c r="AI233" s="159"/>
    </row>
    <row r="234" spans="1:35" x14ac:dyDescent="0.2">
      <c r="A234" s="178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</row>
    <row r="235" spans="1:35" x14ac:dyDescent="0.2">
      <c r="A235" s="178" t="s">
        <v>192</v>
      </c>
      <c r="B235" s="84">
        <v>400</v>
      </c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</row>
    <row r="236" spans="1:35" x14ac:dyDescent="0.2">
      <c r="A236" s="178" t="s">
        <v>323</v>
      </c>
      <c r="B236" s="84"/>
      <c r="C236" s="84"/>
      <c r="D236" s="84"/>
      <c r="E236" s="84">
        <v>400</v>
      </c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</row>
    <row r="237" spans="1:35" x14ac:dyDescent="0.2">
      <c r="A237" s="178" t="s">
        <v>339</v>
      </c>
      <c r="B237" s="84"/>
      <c r="C237" s="84"/>
      <c r="D237" s="84"/>
      <c r="E237" s="84">
        <v>1200</v>
      </c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</row>
    <row r="238" spans="1:35" x14ac:dyDescent="0.2">
      <c r="A238" s="178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</row>
    <row r="239" spans="1:35" x14ac:dyDescent="0.2">
      <c r="A239" s="178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</row>
    <row r="240" spans="1:35" x14ac:dyDescent="0.2">
      <c r="A240" s="178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</row>
    <row r="241" spans="1:35" x14ac:dyDescent="0.2">
      <c r="A241" s="179" t="s">
        <v>164</v>
      </c>
      <c r="B241" s="84">
        <f>SUM(B234:B240)</f>
        <v>400</v>
      </c>
      <c r="C241" s="84">
        <f t="shared" ref="C241:AI241" si="5">SUM(C234:C240)</f>
        <v>0</v>
      </c>
      <c r="D241" s="84">
        <f t="shared" si="5"/>
        <v>0</v>
      </c>
      <c r="E241" s="84">
        <f t="shared" si="5"/>
        <v>1600</v>
      </c>
      <c r="F241" s="84">
        <f t="shared" si="5"/>
        <v>0</v>
      </c>
      <c r="G241" s="84">
        <f t="shared" si="5"/>
        <v>0</v>
      </c>
      <c r="H241" s="84">
        <f t="shared" si="5"/>
        <v>0</v>
      </c>
      <c r="I241" s="84">
        <f t="shared" si="5"/>
        <v>0</v>
      </c>
      <c r="J241" s="84">
        <f t="shared" si="5"/>
        <v>0</v>
      </c>
      <c r="K241" s="84">
        <f t="shared" si="5"/>
        <v>0</v>
      </c>
      <c r="L241" s="84">
        <f t="shared" si="5"/>
        <v>0</v>
      </c>
      <c r="M241" s="84">
        <f t="shared" si="5"/>
        <v>0</v>
      </c>
      <c r="N241" s="84">
        <f t="shared" si="5"/>
        <v>0</v>
      </c>
      <c r="O241" s="84">
        <f t="shared" si="5"/>
        <v>0</v>
      </c>
      <c r="P241" s="84">
        <f t="shared" si="5"/>
        <v>0</v>
      </c>
      <c r="Q241" s="84">
        <f t="shared" si="5"/>
        <v>0</v>
      </c>
      <c r="R241" s="84">
        <f t="shared" si="5"/>
        <v>0</v>
      </c>
      <c r="S241" s="84">
        <f t="shared" si="5"/>
        <v>0</v>
      </c>
      <c r="T241" s="84">
        <f t="shared" si="5"/>
        <v>0</v>
      </c>
      <c r="U241" s="84">
        <f t="shared" si="5"/>
        <v>0</v>
      </c>
      <c r="V241" s="84">
        <f t="shared" si="5"/>
        <v>0</v>
      </c>
      <c r="W241" s="84">
        <f t="shared" si="5"/>
        <v>0</v>
      </c>
      <c r="X241" s="84">
        <f t="shared" si="5"/>
        <v>0</v>
      </c>
      <c r="Y241" s="84">
        <f t="shared" si="5"/>
        <v>0</v>
      </c>
      <c r="Z241" s="84">
        <f t="shared" si="5"/>
        <v>0</v>
      </c>
      <c r="AA241" s="84">
        <f t="shared" si="5"/>
        <v>0</v>
      </c>
      <c r="AB241" s="84">
        <f t="shared" si="5"/>
        <v>0</v>
      </c>
      <c r="AC241" s="84">
        <f t="shared" si="5"/>
        <v>0</v>
      </c>
      <c r="AD241" s="84">
        <f t="shared" si="5"/>
        <v>0</v>
      </c>
      <c r="AE241" s="84">
        <f t="shared" si="5"/>
        <v>0</v>
      </c>
      <c r="AF241" s="84">
        <f t="shared" si="5"/>
        <v>0</v>
      </c>
      <c r="AG241" s="84">
        <f t="shared" si="5"/>
        <v>0</v>
      </c>
      <c r="AH241" s="84">
        <f t="shared" si="5"/>
        <v>0</v>
      </c>
      <c r="AI241" s="84">
        <f t="shared" si="5"/>
        <v>0</v>
      </c>
    </row>
    <row r="242" spans="1:35" ht="13.5" thickBot="1" x14ac:dyDescent="0.25">
      <c r="A242" s="178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</row>
    <row r="243" spans="1:35" ht="13.5" thickBot="1" x14ac:dyDescent="0.25">
      <c r="A243" s="177" t="s">
        <v>165</v>
      </c>
      <c r="B243" s="158"/>
      <c r="C243" s="158"/>
      <c r="D243" s="158"/>
      <c r="E243" s="158"/>
      <c r="F243" s="158"/>
      <c r="G243" s="158"/>
      <c r="H243" s="158"/>
      <c r="I243" s="158"/>
      <c r="J243" s="158"/>
      <c r="K243" s="158"/>
      <c r="L243" s="158"/>
      <c r="M243" s="158"/>
      <c r="N243" s="158"/>
      <c r="O243" s="158"/>
      <c r="P243" s="158"/>
      <c r="Q243" s="158"/>
      <c r="R243" s="158"/>
      <c r="S243" s="158"/>
      <c r="T243" s="158"/>
      <c r="U243" s="158"/>
      <c r="V243" s="158"/>
      <c r="W243" s="158"/>
      <c r="X243" s="158"/>
      <c r="Y243" s="158"/>
      <c r="Z243" s="158"/>
      <c r="AA243" s="158"/>
      <c r="AB243" s="158"/>
      <c r="AC243" s="158"/>
      <c r="AD243" s="158"/>
      <c r="AE243" s="158"/>
      <c r="AF243" s="158"/>
      <c r="AG243" s="158"/>
      <c r="AH243" s="158"/>
      <c r="AI243" s="159"/>
    </row>
    <row r="244" spans="1:35" x14ac:dyDescent="0.2">
      <c r="A244" s="178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</row>
    <row r="245" spans="1:35" x14ac:dyDescent="0.2">
      <c r="A245" s="178" t="s">
        <v>360</v>
      </c>
      <c r="B245" s="84"/>
      <c r="C245" s="84"/>
      <c r="D245" s="84"/>
      <c r="E245" s="84">
        <v>-572</v>
      </c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</row>
    <row r="246" spans="1:35" x14ac:dyDescent="0.2">
      <c r="A246" s="178" t="s">
        <v>361</v>
      </c>
      <c r="B246" s="84"/>
      <c r="C246" s="84"/>
      <c r="D246" s="84"/>
      <c r="E246" s="84"/>
      <c r="F246" s="84"/>
      <c r="G246" s="84"/>
      <c r="H246" s="84">
        <v>-1917</v>
      </c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</row>
    <row r="247" spans="1:35" x14ac:dyDescent="0.2">
      <c r="A247" s="178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</row>
    <row r="248" spans="1:35" x14ac:dyDescent="0.2">
      <c r="A248" s="178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</row>
    <row r="249" spans="1:35" x14ac:dyDescent="0.2">
      <c r="A249" s="179" t="s">
        <v>165</v>
      </c>
      <c r="B249" s="84">
        <f>SUM(B244:B248)</f>
        <v>0</v>
      </c>
      <c r="C249" s="84">
        <f t="shared" ref="C249:AI249" si="6">SUM(C244:C248)</f>
        <v>0</v>
      </c>
      <c r="D249" s="84">
        <f t="shared" si="6"/>
        <v>0</v>
      </c>
      <c r="E249" s="84">
        <f t="shared" si="6"/>
        <v>-572</v>
      </c>
      <c r="F249" s="84">
        <f t="shared" si="6"/>
        <v>0</v>
      </c>
      <c r="G249" s="84">
        <f t="shared" si="6"/>
        <v>0</v>
      </c>
      <c r="H249" s="84">
        <f t="shared" si="6"/>
        <v>-1917</v>
      </c>
      <c r="I249" s="84">
        <f t="shared" si="6"/>
        <v>0</v>
      </c>
      <c r="J249" s="84">
        <f t="shared" si="6"/>
        <v>0</v>
      </c>
      <c r="K249" s="84">
        <f t="shared" si="6"/>
        <v>0</v>
      </c>
      <c r="L249" s="84">
        <f t="shared" si="6"/>
        <v>0</v>
      </c>
      <c r="M249" s="84">
        <f t="shared" si="6"/>
        <v>0</v>
      </c>
      <c r="N249" s="84">
        <f t="shared" si="6"/>
        <v>0</v>
      </c>
      <c r="O249" s="84">
        <f t="shared" si="6"/>
        <v>0</v>
      </c>
      <c r="P249" s="84">
        <f t="shared" si="6"/>
        <v>0</v>
      </c>
      <c r="Q249" s="84">
        <f t="shared" si="6"/>
        <v>0</v>
      </c>
      <c r="R249" s="84">
        <f t="shared" si="6"/>
        <v>0</v>
      </c>
      <c r="S249" s="84">
        <f t="shared" si="6"/>
        <v>0</v>
      </c>
      <c r="T249" s="84">
        <f t="shared" si="6"/>
        <v>0</v>
      </c>
      <c r="U249" s="84">
        <f t="shared" si="6"/>
        <v>0</v>
      </c>
      <c r="V249" s="84">
        <f t="shared" si="6"/>
        <v>0</v>
      </c>
      <c r="W249" s="84">
        <f t="shared" si="6"/>
        <v>0</v>
      </c>
      <c r="X249" s="84">
        <f t="shared" si="6"/>
        <v>0</v>
      </c>
      <c r="Y249" s="84">
        <f t="shared" si="6"/>
        <v>0</v>
      </c>
      <c r="Z249" s="84">
        <f t="shared" si="6"/>
        <v>0</v>
      </c>
      <c r="AA249" s="84">
        <f t="shared" si="6"/>
        <v>0</v>
      </c>
      <c r="AB249" s="84">
        <f t="shared" si="6"/>
        <v>0</v>
      </c>
      <c r="AC249" s="84">
        <f t="shared" si="6"/>
        <v>0</v>
      </c>
      <c r="AD249" s="84">
        <f t="shared" si="6"/>
        <v>0</v>
      </c>
      <c r="AE249" s="84">
        <f t="shared" si="6"/>
        <v>0</v>
      </c>
      <c r="AF249" s="84">
        <f t="shared" si="6"/>
        <v>0</v>
      </c>
      <c r="AG249" s="84">
        <f t="shared" si="6"/>
        <v>0</v>
      </c>
      <c r="AH249" s="84">
        <f t="shared" si="6"/>
        <v>0</v>
      </c>
      <c r="AI249" s="84">
        <f t="shared" si="6"/>
        <v>0</v>
      </c>
    </row>
    <row r="250" spans="1:35" ht="13.5" thickBot="1" x14ac:dyDescent="0.25">
      <c r="A250" s="178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</row>
    <row r="251" spans="1:35" s="30" customFormat="1" ht="13.5" thickBot="1" x14ac:dyDescent="0.25">
      <c r="A251" s="177" t="s">
        <v>143</v>
      </c>
      <c r="B251" s="160">
        <f>B212+B221+B231+B241+B249</f>
        <v>20904.830000000002</v>
      </c>
      <c r="C251" s="160">
        <f t="shared" ref="C251:AI251" si="7">C212+C221+C231+C241+C249</f>
        <v>0</v>
      </c>
      <c r="D251" s="160">
        <f t="shared" si="7"/>
        <v>0</v>
      </c>
      <c r="E251" s="160">
        <f t="shared" si="7"/>
        <v>34867.5</v>
      </c>
      <c r="F251" s="160">
        <f t="shared" si="7"/>
        <v>0</v>
      </c>
      <c r="G251" s="160">
        <f t="shared" si="7"/>
        <v>0</v>
      </c>
      <c r="H251" s="160">
        <f>H212+H221+H231+H241+H249</f>
        <v>22421</v>
      </c>
      <c r="I251" s="160">
        <f t="shared" si="7"/>
        <v>0</v>
      </c>
      <c r="J251" s="160">
        <f t="shared" si="7"/>
        <v>0</v>
      </c>
      <c r="K251" s="160">
        <f t="shared" si="7"/>
        <v>0</v>
      </c>
      <c r="L251" s="160">
        <f t="shared" si="7"/>
        <v>0</v>
      </c>
      <c r="M251" s="160">
        <f t="shared" si="7"/>
        <v>0</v>
      </c>
      <c r="N251" s="160">
        <f t="shared" si="7"/>
        <v>0</v>
      </c>
      <c r="O251" s="160">
        <f t="shared" si="7"/>
        <v>0</v>
      </c>
      <c r="P251" s="160">
        <f t="shared" si="7"/>
        <v>0</v>
      </c>
      <c r="Q251" s="160">
        <f t="shared" si="7"/>
        <v>0</v>
      </c>
      <c r="R251" s="160">
        <f t="shared" si="7"/>
        <v>0</v>
      </c>
      <c r="S251" s="160">
        <f t="shared" si="7"/>
        <v>0</v>
      </c>
      <c r="T251" s="160">
        <f t="shared" si="7"/>
        <v>0</v>
      </c>
      <c r="U251" s="160">
        <f t="shared" si="7"/>
        <v>0</v>
      </c>
      <c r="V251" s="160">
        <f t="shared" si="7"/>
        <v>0</v>
      </c>
      <c r="W251" s="160">
        <f t="shared" si="7"/>
        <v>0</v>
      </c>
      <c r="X251" s="160">
        <f t="shared" si="7"/>
        <v>0</v>
      </c>
      <c r="Y251" s="160">
        <f t="shared" si="7"/>
        <v>0</v>
      </c>
      <c r="Z251" s="160">
        <f t="shared" si="7"/>
        <v>0</v>
      </c>
      <c r="AA251" s="160">
        <f t="shared" si="7"/>
        <v>0</v>
      </c>
      <c r="AB251" s="160">
        <f t="shared" si="7"/>
        <v>0</v>
      </c>
      <c r="AC251" s="160">
        <f t="shared" si="7"/>
        <v>0</v>
      </c>
      <c r="AD251" s="160">
        <f t="shared" si="7"/>
        <v>0</v>
      </c>
      <c r="AE251" s="160">
        <f t="shared" si="7"/>
        <v>0</v>
      </c>
      <c r="AF251" s="160">
        <f t="shared" si="7"/>
        <v>0</v>
      </c>
      <c r="AG251" s="160">
        <f t="shared" si="7"/>
        <v>0</v>
      </c>
      <c r="AH251" s="160">
        <f t="shared" si="7"/>
        <v>0</v>
      </c>
      <c r="AI251" s="160">
        <f t="shared" si="7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G172"/>
  <sheetViews>
    <sheetView tabSelected="1" zoomScaleNormal="100" workbookViewId="0">
      <pane xSplit="1" ySplit="2" topLeftCell="B110" activePane="bottomRight" state="frozen"/>
      <selection pane="topRight" activeCell="B1" sqref="B1"/>
      <selection pane="bottomLeft" activeCell="A3" sqref="A3"/>
      <selection pane="bottomRight" activeCell="F130" sqref="F130"/>
    </sheetView>
  </sheetViews>
  <sheetFormatPr defaultColWidth="8.85546875" defaultRowHeight="12.75" x14ac:dyDescent="0.2"/>
  <cols>
    <col min="1" max="1" width="46.5703125" style="27" customWidth="1"/>
    <col min="2" max="2" width="9.85546875" style="29" bestFit="1" customWidth="1"/>
    <col min="3" max="3" width="12.42578125" style="29" bestFit="1" customWidth="1"/>
    <col min="4" max="4" width="9.85546875" style="29" customWidth="1"/>
    <col min="5" max="5" width="11.42578125" style="29" customWidth="1"/>
    <col min="6" max="6" width="10.42578125" style="29" bestFit="1" customWidth="1"/>
    <col min="7" max="8" width="10.42578125" style="29" customWidth="1"/>
    <col min="9" max="9" width="10.5703125" style="29" bestFit="1" customWidth="1"/>
    <col min="10" max="10" width="9.85546875" style="29" bestFit="1" customWidth="1"/>
    <col min="11" max="12" width="9.85546875" style="29" customWidth="1"/>
    <col min="13" max="13" width="10.5703125" style="29" bestFit="1" customWidth="1"/>
    <col min="14" max="14" width="9.85546875" style="29" bestFit="1" customWidth="1"/>
    <col min="15" max="17" width="9.85546875" style="29" customWidth="1"/>
    <col min="18" max="18" width="9.85546875" style="29" bestFit="1" customWidth="1"/>
    <col min="19" max="21" width="9.85546875" style="29" customWidth="1"/>
    <col min="22" max="22" width="9.85546875" style="29" bestFit="1" customWidth="1"/>
    <col min="23" max="25" width="9.85546875" style="29" customWidth="1"/>
    <col min="26" max="26" width="10" style="29" bestFit="1" customWidth="1"/>
    <col min="27" max="29" width="10" style="29" customWidth="1"/>
    <col min="30" max="30" width="9.5703125" style="29" bestFit="1" customWidth="1"/>
    <col min="31" max="33" width="9.5703125" style="29" customWidth="1"/>
    <col min="34" max="34" width="9.85546875" style="29" bestFit="1" customWidth="1"/>
    <col min="35" max="37" width="9.85546875" style="29" customWidth="1"/>
    <col min="38" max="38" width="9.85546875" style="29" bestFit="1" customWidth="1"/>
    <col min="39" max="41" width="9.85546875" style="29" customWidth="1"/>
    <col min="42" max="42" width="9.42578125" style="29" bestFit="1" customWidth="1"/>
    <col min="43" max="45" width="9.42578125" style="29" customWidth="1"/>
    <col min="46" max="46" width="10.42578125" style="29" bestFit="1" customWidth="1"/>
    <col min="47" max="47" width="8.85546875" style="29"/>
    <col min="48" max="48" width="9.85546875" style="29" bestFit="1" customWidth="1"/>
    <col min="49" max="49" width="10.5703125" style="29" bestFit="1" customWidth="1"/>
    <col min="50" max="50" width="11.85546875" style="29" bestFit="1" customWidth="1"/>
    <col min="51" max="51" width="10.42578125" style="29" bestFit="1" customWidth="1"/>
    <col min="52" max="52" width="11.28515625" style="29" bestFit="1" customWidth="1"/>
    <col min="53" max="53" width="9.85546875" style="29" customWidth="1"/>
    <col min="54" max="54" width="8.5703125" style="29" customWidth="1"/>
    <col min="55" max="55" width="14.7109375" style="29" bestFit="1" customWidth="1"/>
    <col min="56" max="16384" width="8.85546875" style="29"/>
  </cols>
  <sheetData>
    <row r="1" spans="1:59" s="139" customFormat="1" ht="15.75" customHeight="1" thickBot="1" x14ac:dyDescent="0.3">
      <c r="A1" s="1"/>
      <c r="B1" s="202">
        <v>46023</v>
      </c>
      <c r="C1" s="202"/>
      <c r="D1" s="202"/>
      <c r="E1" s="202"/>
      <c r="F1" s="202">
        <v>46054</v>
      </c>
      <c r="G1" s="202"/>
      <c r="H1" s="202"/>
      <c r="I1" s="202"/>
      <c r="J1" s="202">
        <v>46082</v>
      </c>
      <c r="K1" s="202"/>
      <c r="L1" s="202"/>
      <c r="M1" s="202"/>
      <c r="N1" s="202">
        <v>46113</v>
      </c>
      <c r="O1" s="202"/>
      <c r="P1" s="202"/>
      <c r="Q1" s="202"/>
      <c r="R1" s="202">
        <v>46143</v>
      </c>
      <c r="S1" s="202"/>
      <c r="T1" s="202"/>
      <c r="U1" s="202"/>
      <c r="V1" s="202">
        <v>46174</v>
      </c>
      <c r="W1" s="202"/>
      <c r="X1" s="202"/>
      <c r="Y1" s="202"/>
      <c r="Z1" s="202">
        <v>46204</v>
      </c>
      <c r="AA1" s="202"/>
      <c r="AB1" s="202"/>
      <c r="AC1" s="202"/>
      <c r="AD1" s="202">
        <v>46235</v>
      </c>
      <c r="AE1" s="202"/>
      <c r="AF1" s="202"/>
      <c r="AG1" s="202"/>
      <c r="AH1" s="202">
        <v>46266</v>
      </c>
      <c r="AI1" s="202"/>
      <c r="AJ1" s="202"/>
      <c r="AK1" s="202"/>
      <c r="AL1" s="202">
        <v>46296</v>
      </c>
      <c r="AM1" s="202"/>
      <c r="AN1" s="202"/>
      <c r="AO1" s="202"/>
      <c r="AP1" s="202">
        <v>46327</v>
      </c>
      <c r="AQ1" s="202"/>
      <c r="AR1" s="202"/>
      <c r="AS1" s="202"/>
      <c r="AT1" s="202">
        <v>46357</v>
      </c>
      <c r="AU1" s="202"/>
      <c r="AV1" s="202"/>
      <c r="AW1" s="202"/>
      <c r="AX1" s="203" t="s">
        <v>158</v>
      </c>
      <c r="AY1" s="203"/>
      <c r="AZ1" s="203"/>
      <c r="BA1" s="1"/>
      <c r="BB1" s="199" t="s">
        <v>321</v>
      </c>
      <c r="BC1" s="200">
        <v>100</v>
      </c>
    </row>
    <row r="2" spans="1:59" s="139" customFormat="1" x14ac:dyDescent="0.25">
      <c r="A2" s="111"/>
      <c r="B2" s="42" t="s">
        <v>16</v>
      </c>
      <c r="C2" s="43" t="s">
        <v>0</v>
      </c>
      <c r="D2" s="43" t="s">
        <v>128</v>
      </c>
      <c r="E2" s="44" t="s">
        <v>150</v>
      </c>
      <c r="F2" s="42" t="s">
        <v>16</v>
      </c>
      <c r="G2" s="43" t="s">
        <v>0</v>
      </c>
      <c r="H2" s="43" t="s">
        <v>128</v>
      </c>
      <c r="I2" s="44" t="s">
        <v>150</v>
      </c>
      <c r="J2" s="42" t="s">
        <v>16</v>
      </c>
      <c r="K2" s="43" t="s">
        <v>0</v>
      </c>
      <c r="L2" s="43" t="s">
        <v>128</v>
      </c>
      <c r="M2" s="44" t="s">
        <v>150</v>
      </c>
      <c r="N2" s="42" t="s">
        <v>16</v>
      </c>
      <c r="O2" s="43" t="s">
        <v>0</v>
      </c>
      <c r="P2" s="43" t="s">
        <v>128</v>
      </c>
      <c r="Q2" s="44" t="s">
        <v>150</v>
      </c>
      <c r="R2" s="42" t="s">
        <v>16</v>
      </c>
      <c r="S2" s="43" t="s">
        <v>0</v>
      </c>
      <c r="T2" s="43" t="s">
        <v>128</v>
      </c>
      <c r="U2" s="44" t="s">
        <v>150</v>
      </c>
      <c r="V2" s="42" t="s">
        <v>16</v>
      </c>
      <c r="W2" s="43" t="s">
        <v>0</v>
      </c>
      <c r="X2" s="43" t="s">
        <v>128</v>
      </c>
      <c r="Y2" s="44" t="s">
        <v>150</v>
      </c>
      <c r="Z2" s="42" t="s">
        <v>16</v>
      </c>
      <c r="AA2" s="43" t="s">
        <v>0</v>
      </c>
      <c r="AB2" s="43" t="s">
        <v>128</v>
      </c>
      <c r="AC2" s="44" t="s">
        <v>150</v>
      </c>
      <c r="AD2" s="42" t="s">
        <v>16</v>
      </c>
      <c r="AE2" s="43" t="s">
        <v>0</v>
      </c>
      <c r="AF2" s="43" t="s">
        <v>128</v>
      </c>
      <c r="AG2" s="44" t="s">
        <v>150</v>
      </c>
      <c r="AH2" s="42" t="s">
        <v>16</v>
      </c>
      <c r="AI2" s="43" t="s">
        <v>0</v>
      </c>
      <c r="AJ2" s="43" t="s">
        <v>128</v>
      </c>
      <c r="AK2" s="44" t="s">
        <v>150</v>
      </c>
      <c r="AL2" s="42" t="s">
        <v>16</v>
      </c>
      <c r="AM2" s="43" t="s">
        <v>0</v>
      </c>
      <c r="AN2" s="43" t="s">
        <v>128</v>
      </c>
      <c r="AO2" s="44" t="s">
        <v>150</v>
      </c>
      <c r="AP2" s="42" t="s">
        <v>16</v>
      </c>
      <c r="AQ2" s="43" t="s">
        <v>0</v>
      </c>
      <c r="AR2" s="43" t="s">
        <v>128</v>
      </c>
      <c r="AS2" s="44" t="s">
        <v>150</v>
      </c>
      <c r="AT2" s="42" t="s">
        <v>16</v>
      </c>
      <c r="AU2" s="43" t="s">
        <v>0</v>
      </c>
      <c r="AV2" s="43" t="s">
        <v>128</v>
      </c>
      <c r="AW2" s="44" t="s">
        <v>150</v>
      </c>
      <c r="AX2" s="42" t="s">
        <v>16</v>
      </c>
      <c r="AY2" s="43" t="s">
        <v>0</v>
      </c>
      <c r="AZ2" s="44" t="s">
        <v>128</v>
      </c>
      <c r="BA2" s="31" t="s">
        <v>0</v>
      </c>
      <c r="BB2" s="31" t="s">
        <v>128</v>
      </c>
      <c r="BC2" s="31" t="s">
        <v>316</v>
      </c>
    </row>
    <row r="3" spans="1:59" s="140" customFormat="1" x14ac:dyDescent="0.2">
      <c r="A3" s="112" t="s">
        <v>2</v>
      </c>
      <c r="B3" s="61"/>
      <c r="C3" s="24"/>
      <c r="D3" s="24"/>
      <c r="E3" s="62"/>
      <c r="F3" s="61"/>
      <c r="G3" s="24"/>
      <c r="H3" s="24"/>
      <c r="I3" s="62"/>
      <c r="J3" s="61"/>
      <c r="K3" s="24"/>
      <c r="L3" s="24"/>
      <c r="M3" s="62"/>
      <c r="N3" s="61"/>
      <c r="O3" s="24"/>
      <c r="P3" s="24"/>
      <c r="Q3" s="62"/>
      <c r="R3" s="61"/>
      <c r="S3" s="24"/>
      <c r="T3" s="24"/>
      <c r="U3" s="62"/>
      <c r="V3" s="61"/>
      <c r="W3" s="24"/>
      <c r="X3" s="24"/>
      <c r="Y3" s="62"/>
      <c r="Z3" s="61"/>
      <c r="AA3" s="24"/>
      <c r="AB3" s="24"/>
      <c r="AC3" s="62"/>
      <c r="AD3" s="61"/>
      <c r="AE3" s="24"/>
      <c r="AF3" s="24"/>
      <c r="AG3" s="62"/>
      <c r="AH3" s="61"/>
      <c r="AI3" s="24"/>
      <c r="AJ3" s="24"/>
      <c r="AK3" s="62"/>
      <c r="AL3" s="61"/>
      <c r="AM3" s="24"/>
      <c r="AN3" s="24"/>
      <c r="AO3" s="62"/>
      <c r="AP3" s="61"/>
      <c r="AQ3" s="24"/>
      <c r="AR3" s="24"/>
      <c r="AS3" s="62"/>
      <c r="AT3" s="61"/>
      <c r="AU3" s="24"/>
      <c r="AV3" s="24"/>
      <c r="AW3" s="62"/>
      <c r="AX3" s="61"/>
      <c r="AY3" s="24"/>
      <c r="AZ3" s="62"/>
      <c r="BA3" s="3"/>
      <c r="BB3" s="3"/>
      <c r="BC3" s="3"/>
    </row>
    <row r="4" spans="1:59" s="6" customFormat="1" x14ac:dyDescent="0.2">
      <c r="A4" s="113" t="s">
        <v>3</v>
      </c>
      <c r="B4" s="45"/>
      <c r="C4" s="4"/>
      <c r="D4" s="4"/>
      <c r="E4" s="46"/>
      <c r="F4" s="45"/>
      <c r="G4" s="4"/>
      <c r="H4" s="4"/>
      <c r="I4" s="46"/>
      <c r="J4" s="45"/>
      <c r="K4" s="4"/>
      <c r="L4" s="4"/>
      <c r="M4" s="46"/>
      <c r="N4" s="45"/>
      <c r="O4" s="4"/>
      <c r="P4" s="4"/>
      <c r="Q4" s="46"/>
      <c r="R4" s="45"/>
      <c r="S4" s="4"/>
      <c r="T4" s="4"/>
      <c r="U4" s="46"/>
      <c r="V4" s="45"/>
      <c r="W4" s="4"/>
      <c r="X4" s="4"/>
      <c r="Y4" s="46"/>
      <c r="Z4" s="45"/>
      <c r="AA4" s="4"/>
      <c r="AB4" s="4"/>
      <c r="AC4" s="46"/>
      <c r="AD4" s="45"/>
      <c r="AE4" s="4"/>
      <c r="AF4" s="4"/>
      <c r="AG4" s="46"/>
      <c r="AH4" s="45"/>
      <c r="AI4" s="4"/>
      <c r="AJ4" s="4"/>
      <c r="AK4" s="46"/>
      <c r="AL4" s="45"/>
      <c r="AM4" s="4"/>
      <c r="AN4" s="4"/>
      <c r="AO4" s="46"/>
      <c r="AP4" s="45"/>
      <c r="AQ4" s="4"/>
      <c r="AR4" s="4"/>
      <c r="AS4" s="46"/>
      <c r="AT4" s="45"/>
      <c r="AU4" s="4"/>
      <c r="AV4" s="4"/>
      <c r="AW4" s="46"/>
      <c r="AX4" s="45"/>
      <c r="AY4" s="4"/>
      <c r="AZ4" s="46"/>
      <c r="BA4" s="4"/>
      <c r="BB4" s="4"/>
      <c r="BC4" s="4"/>
    </row>
    <row r="5" spans="1:59" s="6" customFormat="1" x14ac:dyDescent="0.2">
      <c r="A5" s="153" t="s">
        <v>4</v>
      </c>
      <c r="B5" s="47">
        <f>C5+D5</f>
        <v>0</v>
      </c>
      <c r="C5" s="6">
        <f>E5*$BA5/100</f>
        <v>0</v>
      </c>
      <c r="D5" s="6">
        <f>E5*$BB5/100</f>
        <v>0</v>
      </c>
      <c r="E5" s="48"/>
      <c r="F5" s="47">
        <f>G5+H5</f>
        <v>0</v>
      </c>
      <c r="G5" s="6">
        <f>I5*$BA5/100</f>
        <v>0</v>
      </c>
      <c r="H5" s="6">
        <f>I5*$BB5/100</f>
        <v>0</v>
      </c>
      <c r="I5" s="48"/>
      <c r="J5" s="47">
        <f>K5+L5</f>
        <v>0</v>
      </c>
      <c r="K5" s="6">
        <f>M5*$BA5/100</f>
        <v>0</v>
      </c>
      <c r="L5" s="6">
        <f>M5*$BB5/100</f>
        <v>0</v>
      </c>
      <c r="M5" s="48"/>
      <c r="N5" s="47">
        <f>O5+P5</f>
        <v>0</v>
      </c>
      <c r="O5" s="6">
        <f>Q5*$BA5/100</f>
        <v>0</v>
      </c>
      <c r="P5" s="6">
        <f>Q5*$BB5/100</f>
        <v>0</v>
      </c>
      <c r="Q5" s="48"/>
      <c r="R5" s="47">
        <f>S5+T5</f>
        <v>0</v>
      </c>
      <c r="S5" s="6">
        <f>U5*$BA5/100</f>
        <v>0</v>
      </c>
      <c r="T5" s="6">
        <f>U5*$BB5/100</f>
        <v>0</v>
      </c>
      <c r="U5" s="48"/>
      <c r="V5" s="47">
        <f>W5+X5</f>
        <v>0</v>
      </c>
      <c r="W5" s="6">
        <f>Y5*$BA5/100</f>
        <v>0</v>
      </c>
      <c r="X5" s="6">
        <f>Y5*$BB5/100</f>
        <v>0</v>
      </c>
      <c r="Y5" s="48"/>
      <c r="Z5" s="47">
        <f>AA5+AB5</f>
        <v>0</v>
      </c>
      <c r="AA5" s="6">
        <f>AC5*$BA5/100</f>
        <v>0</v>
      </c>
      <c r="AB5" s="6">
        <f>AC5*$BB5/100</f>
        <v>0</v>
      </c>
      <c r="AC5" s="48"/>
      <c r="AD5" s="47">
        <f>AE5+AF5</f>
        <v>0</v>
      </c>
      <c r="AE5" s="6">
        <f>AG5*$BA5/100</f>
        <v>0</v>
      </c>
      <c r="AF5" s="6">
        <f>AG5*$BB5/100</f>
        <v>0</v>
      </c>
      <c r="AG5" s="48"/>
      <c r="AH5" s="47">
        <f>AI5+AJ5</f>
        <v>0</v>
      </c>
      <c r="AI5" s="6">
        <f>AK5*$BA5/100</f>
        <v>0</v>
      </c>
      <c r="AJ5" s="6">
        <f>AK5*$BB5/100</f>
        <v>0</v>
      </c>
      <c r="AK5" s="48"/>
      <c r="AL5" s="47">
        <f>AM5+AN5</f>
        <v>0</v>
      </c>
      <c r="AM5" s="6">
        <f>AO5*$BA5/100</f>
        <v>0</v>
      </c>
      <c r="AN5" s="6">
        <f>AO5*$BB5/100</f>
        <v>0</v>
      </c>
      <c r="AO5" s="48"/>
      <c r="AP5" s="47">
        <f>AQ5+AR5</f>
        <v>0</v>
      </c>
      <c r="AQ5" s="6">
        <f>AS5*$BA5/100</f>
        <v>0</v>
      </c>
      <c r="AR5" s="6">
        <f>AS5*$BB5/100</f>
        <v>0</v>
      </c>
      <c r="AS5" s="48"/>
      <c r="AT5" s="47">
        <f>AU5+AV5</f>
        <v>0</v>
      </c>
      <c r="AU5" s="6">
        <f>AW5*$BA5/100</f>
        <v>0</v>
      </c>
      <c r="AV5" s="6">
        <f>AW5*$BB5/100</f>
        <v>0</v>
      </c>
      <c r="AW5" s="48"/>
      <c r="AX5" s="47">
        <f t="shared" ref="AX5:AX15" si="0">B5+F5+J5+N5+R5+V5+Z5+AD5+AH5+AL5+AP5+AT5</f>
        <v>0</v>
      </c>
      <c r="AY5" s="6">
        <f t="shared" ref="AY5:AY15" si="1">C5+G5+K5+O5+S5+W5+AA5+AE5+AI5+AM5+AQ5+AU5</f>
        <v>0</v>
      </c>
      <c r="AZ5" s="48">
        <f t="shared" ref="AZ5:AZ14" si="2">D5+H5+L5+P5+T5+X5+AB5+AF5+AJ5+AN5+AR5+AV5</f>
        <v>0</v>
      </c>
      <c r="BA5" s="7">
        <f>BC$1</f>
        <v>100</v>
      </c>
      <c r="BB5" s="8">
        <f>100-BA5</f>
        <v>0</v>
      </c>
      <c r="BC5" s="9">
        <f>AX5*(BB5/100)</f>
        <v>0</v>
      </c>
      <c r="BF5" s="6" t="s">
        <v>6</v>
      </c>
    </row>
    <row r="6" spans="1:59" s="6" customFormat="1" x14ac:dyDescent="0.2">
      <c r="A6" s="153" t="s">
        <v>5</v>
      </c>
      <c r="B6" s="47">
        <f t="shared" ref="B6:B14" si="3">C6+D6</f>
        <v>16946.5</v>
      </c>
      <c r="C6" s="6">
        <f t="shared" ref="C6:C14" si="4">E6*$BA6/100</f>
        <v>16946.5</v>
      </c>
      <c r="D6" s="6">
        <f t="shared" ref="D6:D14" si="5">E6*$BB6/100</f>
        <v>0</v>
      </c>
      <c r="E6" s="48">
        <v>16946.5</v>
      </c>
      <c r="F6" s="47">
        <f t="shared" ref="F6:F14" si="6">G6+H6</f>
        <v>16715.189999999999</v>
      </c>
      <c r="G6" s="6">
        <f t="shared" ref="G6:G7" si="7">I6*$BA6/100</f>
        <v>16715.189999999999</v>
      </c>
      <c r="H6" s="6">
        <f t="shared" ref="H6:H14" si="8">I6*$BB6/100</f>
        <v>0</v>
      </c>
      <c r="I6" s="48">
        <v>16715.189999999999</v>
      </c>
      <c r="J6" s="47">
        <f t="shared" ref="J6:J14" si="9">K6+L6</f>
        <v>0</v>
      </c>
      <c r="K6" s="6">
        <f t="shared" ref="K6:K7" si="10">M6*$BA6/100</f>
        <v>0</v>
      </c>
      <c r="L6" s="6">
        <f t="shared" ref="L6:L14" si="11">M6*$BB6/100</f>
        <v>0</v>
      </c>
      <c r="M6" s="48"/>
      <c r="N6" s="47">
        <f t="shared" ref="N6:N14" si="12">O6+P6</f>
        <v>0</v>
      </c>
      <c r="O6" s="6">
        <f t="shared" ref="O6:O7" si="13">Q6*$BA6/100</f>
        <v>0</v>
      </c>
      <c r="P6" s="6">
        <f t="shared" ref="P6:P14" si="14">Q6*$BB6/100</f>
        <v>0</v>
      </c>
      <c r="Q6" s="48"/>
      <c r="R6" s="47">
        <f t="shared" ref="R6:R14" si="15">S6+T6</f>
        <v>0</v>
      </c>
      <c r="S6" s="6">
        <f t="shared" ref="S6:S7" si="16">U6*$BA6/100</f>
        <v>0</v>
      </c>
      <c r="T6" s="6">
        <f t="shared" ref="T6:T14" si="17">U6*$BB6/100</f>
        <v>0</v>
      </c>
      <c r="U6" s="48"/>
      <c r="V6" s="47">
        <f t="shared" ref="V6:V14" si="18">W6+X6</f>
        <v>0</v>
      </c>
      <c r="W6" s="6">
        <f t="shared" ref="W6:W7" si="19">Y6*$BA6/100</f>
        <v>0</v>
      </c>
      <c r="X6" s="6">
        <f t="shared" ref="X6:X14" si="20">Y6*$BB6/100</f>
        <v>0</v>
      </c>
      <c r="Y6" s="48"/>
      <c r="Z6" s="47">
        <f t="shared" ref="Z6:Z14" si="21">AA6+AB6</f>
        <v>0</v>
      </c>
      <c r="AA6" s="6">
        <f t="shared" ref="AA6:AA7" si="22">AC6*$BA6/100</f>
        <v>0</v>
      </c>
      <c r="AB6" s="6">
        <f t="shared" ref="AB6:AB14" si="23">AC6*$BB6/100</f>
        <v>0</v>
      </c>
      <c r="AC6" s="48"/>
      <c r="AD6" s="47">
        <f t="shared" ref="AD6:AD14" si="24">AE6+AF6</f>
        <v>0</v>
      </c>
      <c r="AE6" s="6">
        <f t="shared" ref="AE6:AE7" si="25">AG6*$BA6/100</f>
        <v>0</v>
      </c>
      <c r="AF6" s="6">
        <f t="shared" ref="AF6:AF14" si="26">AG6*$BB6/100</f>
        <v>0</v>
      </c>
      <c r="AG6" s="48"/>
      <c r="AH6" s="47">
        <f t="shared" ref="AH6:AH14" si="27">AI6+AJ6</f>
        <v>0</v>
      </c>
      <c r="AI6" s="6">
        <f t="shared" ref="AI6:AI7" si="28">AK6*$BA6/100</f>
        <v>0</v>
      </c>
      <c r="AJ6" s="6">
        <f t="shared" ref="AJ6:AJ14" si="29">AK6*$BB6/100</f>
        <v>0</v>
      </c>
      <c r="AK6" s="48"/>
      <c r="AL6" s="47">
        <f t="shared" ref="AL6:AL14" si="30">AM6+AN6</f>
        <v>0</v>
      </c>
      <c r="AM6" s="6">
        <f t="shared" ref="AM6:AM7" si="31">AO6*$BA6/100</f>
        <v>0</v>
      </c>
      <c r="AN6" s="6">
        <f t="shared" ref="AN6:AN14" si="32">AO6*$BB6/100</f>
        <v>0</v>
      </c>
      <c r="AO6" s="48"/>
      <c r="AP6" s="47">
        <f t="shared" ref="AP6:AP14" si="33">AQ6+AR6</f>
        <v>0</v>
      </c>
      <c r="AQ6" s="6">
        <f t="shared" ref="AQ6:AQ7" si="34">AS6*$BA6/100</f>
        <v>0</v>
      </c>
      <c r="AR6" s="6">
        <f t="shared" ref="AR6:AR14" si="35">AS6*$BB6/100</f>
        <v>0</v>
      </c>
      <c r="AS6" s="48"/>
      <c r="AT6" s="47">
        <f t="shared" ref="AT6:AT14" si="36">AU6+AV6</f>
        <v>0</v>
      </c>
      <c r="AU6" s="6">
        <f t="shared" ref="AU6:AU7" si="37">AW6*$BA6/100</f>
        <v>0</v>
      </c>
      <c r="AV6" s="6">
        <f t="shared" ref="AV6:AV14" si="38">AW6*$BB6/100</f>
        <v>0</v>
      </c>
      <c r="AW6" s="48"/>
      <c r="AX6" s="47">
        <f t="shared" si="0"/>
        <v>33661.69</v>
      </c>
      <c r="AY6" s="6">
        <f t="shared" si="1"/>
        <v>33661.69</v>
      </c>
      <c r="AZ6" s="48">
        <f t="shared" si="2"/>
        <v>0</v>
      </c>
      <c r="BA6" s="7">
        <f>BC$1</f>
        <v>100</v>
      </c>
      <c r="BB6" s="8">
        <f t="shared" ref="BB6:BB14" si="39">100-BA6</f>
        <v>0</v>
      </c>
      <c r="BC6" s="9">
        <f t="shared" ref="BC6:BC26" si="40">AX6*(BB6/100)</f>
        <v>0</v>
      </c>
      <c r="BF6" s="6">
        <v>1</v>
      </c>
      <c r="BG6" s="6" t="s">
        <v>8</v>
      </c>
    </row>
    <row r="7" spans="1:59" s="6" customFormat="1" ht="14.45" customHeight="1" x14ac:dyDescent="0.2">
      <c r="A7" s="153" t="s">
        <v>7</v>
      </c>
      <c r="B7" s="47">
        <f t="shared" si="3"/>
        <v>293.38</v>
      </c>
      <c r="C7" s="6">
        <f t="shared" si="4"/>
        <v>0</v>
      </c>
      <c r="D7" s="6">
        <f t="shared" si="5"/>
        <v>293.38</v>
      </c>
      <c r="E7" s="48">
        <v>293.38</v>
      </c>
      <c r="F7" s="47">
        <f t="shared" si="6"/>
        <v>300.5</v>
      </c>
      <c r="G7" s="6">
        <f t="shared" si="7"/>
        <v>0</v>
      </c>
      <c r="H7" s="6">
        <f t="shared" si="8"/>
        <v>300.5</v>
      </c>
      <c r="I7" s="48">
        <v>300.5</v>
      </c>
      <c r="J7" s="47">
        <f t="shared" si="9"/>
        <v>392.24</v>
      </c>
      <c r="K7" s="6">
        <f t="shared" si="10"/>
        <v>0</v>
      </c>
      <c r="L7" s="6">
        <f t="shared" si="11"/>
        <v>392.24</v>
      </c>
      <c r="M7" s="48">
        <v>392.24</v>
      </c>
      <c r="N7" s="47">
        <f t="shared" si="12"/>
        <v>0</v>
      </c>
      <c r="O7" s="6">
        <f t="shared" si="13"/>
        <v>0</v>
      </c>
      <c r="P7" s="6">
        <f t="shared" si="14"/>
        <v>0</v>
      </c>
      <c r="Q7" s="48"/>
      <c r="R7" s="47">
        <f t="shared" si="15"/>
        <v>0</v>
      </c>
      <c r="S7" s="6">
        <f t="shared" si="16"/>
        <v>0</v>
      </c>
      <c r="T7" s="6">
        <f t="shared" si="17"/>
        <v>0</v>
      </c>
      <c r="U7" s="48"/>
      <c r="V7" s="47">
        <f t="shared" si="18"/>
        <v>0</v>
      </c>
      <c r="W7" s="6">
        <f t="shared" si="19"/>
        <v>0</v>
      </c>
      <c r="X7" s="6">
        <f t="shared" si="20"/>
        <v>0</v>
      </c>
      <c r="Y7" s="48"/>
      <c r="Z7" s="47">
        <f t="shared" si="21"/>
        <v>0</v>
      </c>
      <c r="AA7" s="6">
        <f t="shared" si="22"/>
        <v>0</v>
      </c>
      <c r="AB7" s="6">
        <f t="shared" si="23"/>
        <v>0</v>
      </c>
      <c r="AC7" s="48"/>
      <c r="AD7" s="47">
        <f t="shared" si="24"/>
        <v>0</v>
      </c>
      <c r="AE7" s="6">
        <f t="shared" si="25"/>
        <v>0</v>
      </c>
      <c r="AF7" s="6">
        <f t="shared" si="26"/>
        <v>0</v>
      </c>
      <c r="AG7" s="48"/>
      <c r="AH7" s="47">
        <f t="shared" si="27"/>
        <v>0</v>
      </c>
      <c r="AI7" s="6">
        <f t="shared" si="28"/>
        <v>0</v>
      </c>
      <c r="AJ7" s="6">
        <f t="shared" si="29"/>
        <v>0</v>
      </c>
      <c r="AK7" s="48"/>
      <c r="AL7" s="47">
        <f t="shared" si="30"/>
        <v>0</v>
      </c>
      <c r="AM7" s="6">
        <f t="shared" si="31"/>
        <v>0</v>
      </c>
      <c r="AN7" s="6">
        <f t="shared" si="32"/>
        <v>0</v>
      </c>
      <c r="AO7" s="48"/>
      <c r="AP7" s="47">
        <f t="shared" si="33"/>
        <v>0</v>
      </c>
      <c r="AQ7" s="6">
        <f t="shared" si="34"/>
        <v>0</v>
      </c>
      <c r="AR7" s="6">
        <f t="shared" si="35"/>
        <v>0</v>
      </c>
      <c r="AS7" s="48"/>
      <c r="AT7" s="47">
        <f t="shared" si="36"/>
        <v>0</v>
      </c>
      <c r="AU7" s="6">
        <f t="shared" si="37"/>
        <v>0</v>
      </c>
      <c r="AV7" s="6">
        <f t="shared" si="38"/>
        <v>0</v>
      </c>
      <c r="AW7" s="48"/>
      <c r="AX7" s="47">
        <f t="shared" si="0"/>
        <v>986.12</v>
      </c>
      <c r="AY7" s="6">
        <f t="shared" si="1"/>
        <v>0</v>
      </c>
      <c r="AZ7" s="48">
        <f t="shared" si="2"/>
        <v>986.12</v>
      </c>
      <c r="BA7" s="7">
        <v>0</v>
      </c>
      <c r="BB7" s="8">
        <f t="shared" si="39"/>
        <v>100</v>
      </c>
      <c r="BC7" s="9"/>
      <c r="BF7" s="6">
        <v>1</v>
      </c>
      <c r="BG7" s="6" t="s">
        <v>11</v>
      </c>
    </row>
    <row r="8" spans="1:59" s="6" customFormat="1" x14ac:dyDescent="0.2">
      <c r="A8" s="153" t="s">
        <v>214</v>
      </c>
      <c r="B8" s="47">
        <f t="shared" si="3"/>
        <v>350</v>
      </c>
      <c r="C8" s="6">
        <f t="shared" ref="C8" si="41">E8*$BA8/100</f>
        <v>350</v>
      </c>
      <c r="D8" s="6">
        <f t="shared" ref="D8" si="42">E8*$BB8/100</f>
        <v>0</v>
      </c>
      <c r="E8" s="48">
        <v>350</v>
      </c>
      <c r="F8" s="47">
        <f t="shared" si="6"/>
        <v>350</v>
      </c>
      <c r="G8" s="6">
        <f t="shared" ref="G8" si="43">I8*$BA8/100</f>
        <v>350</v>
      </c>
      <c r="H8" s="6">
        <f t="shared" ref="H8" si="44">I8*$BB8/100</f>
        <v>0</v>
      </c>
      <c r="I8" s="48">
        <v>350</v>
      </c>
      <c r="J8" s="47">
        <f t="shared" si="9"/>
        <v>0</v>
      </c>
      <c r="K8" s="6">
        <f t="shared" ref="K8:K9" si="45">M8*$BA8/100</f>
        <v>0</v>
      </c>
      <c r="L8" s="6">
        <f t="shared" ref="L8:L9" si="46">M8*$BB8/100</f>
        <v>0</v>
      </c>
      <c r="M8" s="48"/>
      <c r="N8" s="47">
        <f t="shared" si="12"/>
        <v>0</v>
      </c>
      <c r="O8" s="6">
        <f t="shared" ref="O8" si="47">Q8*$BA8/100</f>
        <v>0</v>
      </c>
      <c r="P8" s="6">
        <f t="shared" ref="P8" si="48">Q8*$BB8/100</f>
        <v>0</v>
      </c>
      <c r="Q8" s="48"/>
      <c r="R8" s="47">
        <f t="shared" si="15"/>
        <v>0</v>
      </c>
      <c r="S8" s="6">
        <f t="shared" ref="S8:S9" si="49">U8*$BA8/100</f>
        <v>0</v>
      </c>
      <c r="T8" s="6">
        <f t="shared" ref="T8:T9" si="50">U8*$BB8/100</f>
        <v>0</v>
      </c>
      <c r="U8" s="48"/>
      <c r="V8" s="47">
        <f t="shared" si="18"/>
        <v>0</v>
      </c>
      <c r="W8" s="6">
        <f t="shared" ref="W8:W9" si="51">Y8*$BA8/100</f>
        <v>0</v>
      </c>
      <c r="X8" s="6">
        <f t="shared" ref="X8:X9" si="52">Y8*$BB8/100</f>
        <v>0</v>
      </c>
      <c r="Y8" s="48"/>
      <c r="Z8" s="47">
        <f t="shared" si="21"/>
        <v>0</v>
      </c>
      <c r="AA8" s="6">
        <f t="shared" ref="AA8:AA9" si="53">AC8*$BA8/100</f>
        <v>0</v>
      </c>
      <c r="AB8" s="6">
        <f t="shared" ref="AB8:AB9" si="54">AC8*$BB8/100</f>
        <v>0</v>
      </c>
      <c r="AC8" s="48"/>
      <c r="AD8" s="47">
        <f t="shared" si="24"/>
        <v>0</v>
      </c>
      <c r="AE8" s="6">
        <f t="shared" ref="AE8:AE9" si="55">AG8*$BA8/100</f>
        <v>0</v>
      </c>
      <c r="AF8" s="6">
        <f t="shared" ref="AF8:AF9" si="56">AG8*$BB8/100</f>
        <v>0</v>
      </c>
      <c r="AG8" s="48"/>
      <c r="AH8" s="47">
        <f t="shared" si="27"/>
        <v>0</v>
      </c>
      <c r="AI8" s="6">
        <f t="shared" ref="AI8:AI9" si="57">AK8*$BA8/100</f>
        <v>0</v>
      </c>
      <c r="AJ8" s="6">
        <f t="shared" ref="AJ8:AJ9" si="58">AK8*$BB8/100</f>
        <v>0</v>
      </c>
      <c r="AK8" s="48"/>
      <c r="AL8" s="47">
        <f t="shared" si="30"/>
        <v>0</v>
      </c>
      <c r="AM8" s="6">
        <f t="shared" ref="AM8:AM10" si="59">AO8*$BA8/100</f>
        <v>0</v>
      </c>
      <c r="AN8" s="6">
        <f t="shared" ref="AN8:AN10" si="60">AO8*$BB8/100</f>
        <v>0</v>
      </c>
      <c r="AO8" s="48"/>
      <c r="AP8" s="47">
        <f t="shared" si="33"/>
        <v>0</v>
      </c>
      <c r="AQ8" s="6">
        <f t="shared" ref="AQ8:AQ9" si="61">AS8*$BA8/100</f>
        <v>0</v>
      </c>
      <c r="AR8" s="6">
        <f t="shared" ref="AR8:AR9" si="62">AS8*$BB8/100</f>
        <v>0</v>
      </c>
      <c r="AS8" s="48"/>
      <c r="AT8" s="47">
        <f t="shared" si="36"/>
        <v>0</v>
      </c>
      <c r="AU8" s="6">
        <f t="shared" ref="AU8:AU9" si="63">AW8*$BA8/100</f>
        <v>0</v>
      </c>
      <c r="AV8" s="6">
        <f t="shared" ref="AV8:AV9" si="64">AW8*$BB8/100</f>
        <v>0</v>
      </c>
      <c r="AW8" s="48"/>
      <c r="AX8" s="47">
        <f t="shared" si="0"/>
        <v>700</v>
      </c>
      <c r="AY8" s="6">
        <f t="shared" si="1"/>
        <v>700</v>
      </c>
      <c r="AZ8" s="48">
        <f t="shared" si="2"/>
        <v>0</v>
      </c>
      <c r="BA8" s="7">
        <f t="shared" ref="BA8:BA14" si="65">BC$1</f>
        <v>100</v>
      </c>
      <c r="BB8" s="8">
        <f t="shared" si="39"/>
        <v>0</v>
      </c>
      <c r="BC8" s="9">
        <f t="shared" si="40"/>
        <v>0</v>
      </c>
      <c r="BF8" s="6">
        <v>1</v>
      </c>
      <c r="BG8" s="6" t="s">
        <v>13</v>
      </c>
    </row>
    <row r="9" spans="1:59" s="6" customFormat="1" x14ac:dyDescent="0.2">
      <c r="A9" s="153" t="s">
        <v>9</v>
      </c>
      <c r="B9" s="47">
        <f t="shared" si="3"/>
        <v>0</v>
      </c>
      <c r="C9" s="6">
        <f t="shared" si="4"/>
        <v>0</v>
      </c>
      <c r="D9" s="6">
        <f t="shared" si="5"/>
        <v>0</v>
      </c>
      <c r="E9" s="48"/>
      <c r="F9" s="47">
        <f t="shared" si="6"/>
        <v>0</v>
      </c>
      <c r="G9" s="6">
        <f t="shared" ref="G9:G14" si="66">I9*$BA9/100</f>
        <v>0</v>
      </c>
      <c r="H9" s="6">
        <f t="shared" si="8"/>
        <v>0</v>
      </c>
      <c r="I9" s="48"/>
      <c r="J9" s="47">
        <f t="shared" si="9"/>
        <v>0</v>
      </c>
      <c r="K9" s="6">
        <f t="shared" si="45"/>
        <v>0</v>
      </c>
      <c r="L9" s="6">
        <f t="shared" si="46"/>
        <v>0</v>
      </c>
      <c r="M9" s="48"/>
      <c r="N9" s="47">
        <f t="shared" si="12"/>
        <v>0</v>
      </c>
      <c r="O9" s="6">
        <f t="shared" ref="O9:O14" si="67">Q9*$BA9/100</f>
        <v>0</v>
      </c>
      <c r="P9" s="6">
        <f t="shared" si="14"/>
        <v>0</v>
      </c>
      <c r="Q9" s="48"/>
      <c r="R9" s="47">
        <f t="shared" si="15"/>
        <v>0</v>
      </c>
      <c r="S9" s="6">
        <f t="shared" si="49"/>
        <v>0</v>
      </c>
      <c r="T9" s="6">
        <f t="shared" si="50"/>
        <v>0</v>
      </c>
      <c r="U9" s="48"/>
      <c r="V9" s="47">
        <f t="shared" si="18"/>
        <v>0</v>
      </c>
      <c r="W9" s="6">
        <f t="shared" si="51"/>
        <v>0</v>
      </c>
      <c r="X9" s="6">
        <f t="shared" si="52"/>
        <v>0</v>
      </c>
      <c r="Y9" s="48"/>
      <c r="Z9" s="47">
        <f t="shared" si="21"/>
        <v>0</v>
      </c>
      <c r="AA9" s="6">
        <f t="shared" si="53"/>
        <v>0</v>
      </c>
      <c r="AB9" s="6">
        <f t="shared" si="54"/>
        <v>0</v>
      </c>
      <c r="AC9" s="48"/>
      <c r="AD9" s="47">
        <f t="shared" si="24"/>
        <v>0</v>
      </c>
      <c r="AE9" s="6">
        <f t="shared" si="55"/>
        <v>0</v>
      </c>
      <c r="AF9" s="6">
        <f t="shared" si="56"/>
        <v>0</v>
      </c>
      <c r="AG9" s="48"/>
      <c r="AH9" s="47">
        <f t="shared" si="27"/>
        <v>0</v>
      </c>
      <c r="AI9" s="6">
        <f t="shared" si="57"/>
        <v>0</v>
      </c>
      <c r="AJ9" s="6">
        <f t="shared" si="58"/>
        <v>0</v>
      </c>
      <c r="AK9" s="48"/>
      <c r="AL9" s="47">
        <f t="shared" si="30"/>
        <v>0</v>
      </c>
      <c r="AM9" s="6">
        <f t="shared" si="59"/>
        <v>0</v>
      </c>
      <c r="AN9" s="6">
        <f t="shared" si="60"/>
        <v>0</v>
      </c>
      <c r="AO9" s="48"/>
      <c r="AP9" s="47">
        <f t="shared" si="33"/>
        <v>0</v>
      </c>
      <c r="AQ9" s="6">
        <f t="shared" si="61"/>
        <v>0</v>
      </c>
      <c r="AR9" s="6">
        <f t="shared" si="62"/>
        <v>0</v>
      </c>
      <c r="AS9" s="48"/>
      <c r="AT9" s="47">
        <f t="shared" si="36"/>
        <v>0</v>
      </c>
      <c r="AU9" s="6">
        <f t="shared" si="63"/>
        <v>0</v>
      </c>
      <c r="AV9" s="6">
        <f t="shared" si="64"/>
        <v>0</v>
      </c>
      <c r="AW9" s="48"/>
      <c r="AX9" s="47">
        <f t="shared" si="0"/>
        <v>0</v>
      </c>
      <c r="AY9" s="6">
        <f t="shared" si="1"/>
        <v>0</v>
      </c>
      <c r="AZ9" s="48">
        <f t="shared" si="2"/>
        <v>0</v>
      </c>
      <c r="BA9" s="7">
        <f t="shared" si="65"/>
        <v>100</v>
      </c>
      <c r="BB9" s="8">
        <f t="shared" si="39"/>
        <v>0</v>
      </c>
      <c r="BC9" s="9">
        <f t="shared" si="40"/>
        <v>0</v>
      </c>
      <c r="BF9" s="6">
        <v>1</v>
      </c>
      <c r="BG9" s="6" t="s">
        <v>14</v>
      </c>
    </row>
    <row r="10" spans="1:59" s="6" customFormat="1" x14ac:dyDescent="0.2">
      <c r="A10" s="153" t="s">
        <v>10</v>
      </c>
      <c r="B10" s="47">
        <f t="shared" si="3"/>
        <v>0</v>
      </c>
      <c r="C10" s="6">
        <f t="shared" si="4"/>
        <v>0</v>
      </c>
      <c r="D10" s="6">
        <f t="shared" si="5"/>
        <v>0</v>
      </c>
      <c r="E10" s="48"/>
      <c r="F10" s="47">
        <f t="shared" si="6"/>
        <v>270</v>
      </c>
      <c r="G10" s="6">
        <f t="shared" si="66"/>
        <v>270</v>
      </c>
      <c r="H10" s="6">
        <f t="shared" si="8"/>
        <v>0</v>
      </c>
      <c r="I10" s="48">
        <v>270</v>
      </c>
      <c r="J10" s="47">
        <f t="shared" si="9"/>
        <v>0</v>
      </c>
      <c r="K10" s="6">
        <f t="shared" ref="K10:K14" si="68">M10*$BA10/100</f>
        <v>0</v>
      </c>
      <c r="L10" s="6">
        <f t="shared" si="11"/>
        <v>0</v>
      </c>
      <c r="M10" s="48"/>
      <c r="N10" s="47">
        <f t="shared" si="12"/>
        <v>0</v>
      </c>
      <c r="O10" s="6">
        <f t="shared" si="67"/>
        <v>0</v>
      </c>
      <c r="P10" s="6">
        <f t="shared" si="14"/>
        <v>0</v>
      </c>
      <c r="Q10" s="48"/>
      <c r="R10" s="47">
        <f t="shared" si="15"/>
        <v>0</v>
      </c>
      <c r="S10" s="6">
        <f t="shared" ref="S10:S14" si="69">U10*$BA10/100</f>
        <v>0</v>
      </c>
      <c r="T10" s="6">
        <f t="shared" si="17"/>
        <v>0</v>
      </c>
      <c r="U10" s="48"/>
      <c r="V10" s="47">
        <f t="shared" si="18"/>
        <v>0</v>
      </c>
      <c r="W10" s="6">
        <f t="shared" ref="W10:W14" si="70">Y10*$BA10/100</f>
        <v>0</v>
      </c>
      <c r="X10" s="6">
        <f t="shared" si="20"/>
        <v>0</v>
      </c>
      <c r="Y10" s="48"/>
      <c r="Z10" s="47">
        <f t="shared" si="21"/>
        <v>0</v>
      </c>
      <c r="AA10" s="6">
        <f t="shared" ref="AA10:AA14" si="71">AC10*$BA10/100</f>
        <v>0</v>
      </c>
      <c r="AB10" s="6">
        <f t="shared" si="23"/>
        <v>0</v>
      </c>
      <c r="AC10" s="48"/>
      <c r="AD10" s="47">
        <f t="shared" si="24"/>
        <v>0</v>
      </c>
      <c r="AE10" s="6">
        <f t="shared" ref="AE10:AE14" si="72">AG10*$BA10/100</f>
        <v>0</v>
      </c>
      <c r="AF10" s="6">
        <f t="shared" si="26"/>
        <v>0</v>
      </c>
      <c r="AG10" s="48"/>
      <c r="AH10" s="47">
        <f t="shared" si="27"/>
        <v>0</v>
      </c>
      <c r="AI10" s="6">
        <f t="shared" ref="AI10:AI14" si="73">AK10*$BA10/100</f>
        <v>0</v>
      </c>
      <c r="AJ10" s="6">
        <f t="shared" si="29"/>
        <v>0</v>
      </c>
      <c r="AK10" s="48"/>
      <c r="AL10" s="47">
        <f t="shared" si="30"/>
        <v>0</v>
      </c>
      <c r="AM10" s="6">
        <f t="shared" si="59"/>
        <v>0</v>
      </c>
      <c r="AN10" s="6">
        <f t="shared" si="60"/>
        <v>0</v>
      </c>
      <c r="AO10" s="48"/>
      <c r="AP10" s="47">
        <f t="shared" si="33"/>
        <v>0</v>
      </c>
      <c r="AQ10" s="6">
        <f t="shared" ref="AQ10:AQ14" si="74">AS10*$BA10/100</f>
        <v>0</v>
      </c>
      <c r="AR10" s="6">
        <f t="shared" si="35"/>
        <v>0</v>
      </c>
      <c r="AS10" s="48"/>
      <c r="AT10" s="47">
        <f t="shared" si="36"/>
        <v>0</v>
      </c>
      <c r="AU10" s="6">
        <f t="shared" ref="AU10:AU14" si="75">AW10*$BA10/100</f>
        <v>0</v>
      </c>
      <c r="AV10" s="6">
        <f t="shared" si="38"/>
        <v>0</v>
      </c>
      <c r="AW10" s="48"/>
      <c r="AX10" s="47">
        <f t="shared" si="0"/>
        <v>270</v>
      </c>
      <c r="AY10" s="6">
        <f t="shared" si="1"/>
        <v>270</v>
      </c>
      <c r="AZ10" s="48">
        <f t="shared" si="2"/>
        <v>0</v>
      </c>
      <c r="BA10" s="7">
        <f t="shared" si="65"/>
        <v>100</v>
      </c>
      <c r="BB10" s="8">
        <f t="shared" si="39"/>
        <v>0</v>
      </c>
      <c r="BC10" s="9">
        <f t="shared" si="40"/>
        <v>0</v>
      </c>
    </row>
    <row r="11" spans="1:59" s="6" customFormat="1" x14ac:dyDescent="0.2">
      <c r="A11" s="153" t="s">
        <v>12</v>
      </c>
      <c r="B11" s="47">
        <f t="shared" si="3"/>
        <v>1350</v>
      </c>
      <c r="C11" s="6">
        <f t="shared" si="4"/>
        <v>1350</v>
      </c>
      <c r="D11" s="6">
        <f t="shared" si="5"/>
        <v>0</v>
      </c>
      <c r="E11" s="48">
        <f>450+450+450</f>
        <v>1350</v>
      </c>
      <c r="F11" s="47">
        <f t="shared" si="6"/>
        <v>1350</v>
      </c>
      <c r="G11" s="6">
        <f t="shared" si="66"/>
        <v>1350</v>
      </c>
      <c r="H11" s="6">
        <f t="shared" si="8"/>
        <v>0</v>
      </c>
      <c r="I11" s="48">
        <f>450+300+150+450</f>
        <v>1350</v>
      </c>
      <c r="J11" s="47">
        <f t="shared" si="9"/>
        <v>1200</v>
      </c>
      <c r="K11" s="6">
        <f t="shared" si="68"/>
        <v>1200</v>
      </c>
      <c r="L11" s="6">
        <f t="shared" si="11"/>
        <v>0</v>
      </c>
      <c r="M11" s="48">
        <f>450+300+450</f>
        <v>1200</v>
      </c>
      <c r="N11" s="47">
        <f t="shared" si="12"/>
        <v>0</v>
      </c>
      <c r="O11" s="6">
        <f t="shared" si="67"/>
        <v>0</v>
      </c>
      <c r="P11" s="6">
        <f t="shared" si="14"/>
        <v>0</v>
      </c>
      <c r="Q11" s="48"/>
      <c r="R11" s="47">
        <f t="shared" si="15"/>
        <v>0</v>
      </c>
      <c r="S11" s="6">
        <f t="shared" si="69"/>
        <v>0</v>
      </c>
      <c r="T11" s="6">
        <f t="shared" si="17"/>
        <v>0</v>
      </c>
      <c r="U11" s="48"/>
      <c r="V11" s="47">
        <f t="shared" si="18"/>
        <v>0</v>
      </c>
      <c r="W11" s="6">
        <f t="shared" si="70"/>
        <v>0</v>
      </c>
      <c r="X11" s="6">
        <f t="shared" si="20"/>
        <v>0</v>
      </c>
      <c r="Y11" s="48"/>
      <c r="Z11" s="47">
        <f t="shared" si="21"/>
        <v>0</v>
      </c>
      <c r="AA11" s="6">
        <f t="shared" si="71"/>
        <v>0</v>
      </c>
      <c r="AB11" s="6">
        <f t="shared" si="23"/>
        <v>0</v>
      </c>
      <c r="AC11" s="48"/>
      <c r="AD11" s="47">
        <f t="shared" si="24"/>
        <v>0</v>
      </c>
      <c r="AE11" s="6">
        <f t="shared" si="72"/>
        <v>0</v>
      </c>
      <c r="AF11" s="6">
        <f t="shared" si="26"/>
        <v>0</v>
      </c>
      <c r="AG11" s="48"/>
      <c r="AH11" s="47">
        <f t="shared" si="27"/>
        <v>0</v>
      </c>
      <c r="AI11" s="6">
        <f t="shared" si="73"/>
        <v>0</v>
      </c>
      <c r="AJ11" s="6">
        <f t="shared" si="29"/>
        <v>0</v>
      </c>
      <c r="AK11" s="48"/>
      <c r="AL11" s="47">
        <f t="shared" si="30"/>
        <v>0</v>
      </c>
      <c r="AM11" s="6">
        <f t="shared" ref="AM11:AM14" si="76">AO11*$BA11/100</f>
        <v>0</v>
      </c>
      <c r="AN11" s="6">
        <f t="shared" si="32"/>
        <v>0</v>
      </c>
      <c r="AO11" s="48"/>
      <c r="AP11" s="47">
        <f t="shared" si="33"/>
        <v>0</v>
      </c>
      <c r="AQ11" s="6">
        <f t="shared" si="74"/>
        <v>0</v>
      </c>
      <c r="AR11" s="6">
        <f t="shared" si="35"/>
        <v>0</v>
      </c>
      <c r="AS11" s="48"/>
      <c r="AT11" s="47">
        <f t="shared" si="36"/>
        <v>0</v>
      </c>
      <c r="AU11" s="6">
        <f t="shared" si="75"/>
        <v>0</v>
      </c>
      <c r="AV11" s="6">
        <f t="shared" si="38"/>
        <v>0</v>
      </c>
      <c r="AW11" s="48"/>
      <c r="AX11" s="47">
        <f t="shared" si="0"/>
        <v>3900</v>
      </c>
      <c r="AY11" s="6">
        <f t="shared" si="1"/>
        <v>3900</v>
      </c>
      <c r="AZ11" s="48">
        <f t="shared" si="2"/>
        <v>0</v>
      </c>
      <c r="BA11" s="7">
        <f t="shared" si="65"/>
        <v>100</v>
      </c>
      <c r="BB11" s="8">
        <f t="shared" si="39"/>
        <v>0</v>
      </c>
      <c r="BC11" s="9">
        <f t="shared" si="40"/>
        <v>0</v>
      </c>
    </row>
    <row r="12" spans="1:59" s="6" customFormat="1" x14ac:dyDescent="0.2">
      <c r="A12" s="153" t="s">
        <v>215</v>
      </c>
      <c r="B12" s="47">
        <f t="shared" si="3"/>
        <v>0</v>
      </c>
      <c r="C12" s="6">
        <f t="shared" si="4"/>
        <v>0</v>
      </c>
      <c r="D12" s="6">
        <f t="shared" si="5"/>
        <v>0</v>
      </c>
      <c r="E12" s="48"/>
      <c r="F12" s="47">
        <f t="shared" si="6"/>
        <v>203.43</v>
      </c>
      <c r="G12" s="6">
        <f t="shared" si="66"/>
        <v>203.43</v>
      </c>
      <c r="H12" s="6">
        <f t="shared" si="8"/>
        <v>0</v>
      </c>
      <c r="I12" s="48">
        <v>203.43</v>
      </c>
      <c r="J12" s="47">
        <f t="shared" si="9"/>
        <v>205.39</v>
      </c>
      <c r="K12" s="6">
        <f t="shared" si="68"/>
        <v>205.39</v>
      </c>
      <c r="L12" s="6">
        <f t="shared" si="11"/>
        <v>0</v>
      </c>
      <c r="M12" s="48">
        <v>205.39</v>
      </c>
      <c r="N12" s="47">
        <f t="shared" si="12"/>
        <v>0</v>
      </c>
      <c r="O12" s="6">
        <f t="shared" si="67"/>
        <v>0</v>
      </c>
      <c r="P12" s="6">
        <f t="shared" si="14"/>
        <v>0</v>
      </c>
      <c r="Q12" s="48"/>
      <c r="R12" s="47">
        <f t="shared" si="15"/>
        <v>0</v>
      </c>
      <c r="S12" s="6">
        <f t="shared" si="69"/>
        <v>0</v>
      </c>
      <c r="T12" s="6">
        <f t="shared" si="17"/>
        <v>0</v>
      </c>
      <c r="U12" s="48"/>
      <c r="V12" s="47">
        <f t="shared" si="18"/>
        <v>0</v>
      </c>
      <c r="W12" s="6">
        <f t="shared" si="70"/>
        <v>0</v>
      </c>
      <c r="X12" s="6">
        <f t="shared" si="20"/>
        <v>0</v>
      </c>
      <c r="Y12" s="48"/>
      <c r="Z12" s="47">
        <f t="shared" si="21"/>
        <v>0</v>
      </c>
      <c r="AA12" s="6">
        <f t="shared" si="71"/>
        <v>0</v>
      </c>
      <c r="AB12" s="6">
        <f t="shared" si="23"/>
        <v>0</v>
      </c>
      <c r="AC12" s="48"/>
      <c r="AD12" s="47">
        <f t="shared" si="24"/>
        <v>0</v>
      </c>
      <c r="AE12" s="6">
        <f t="shared" si="72"/>
        <v>0</v>
      </c>
      <c r="AF12" s="6">
        <f t="shared" si="26"/>
        <v>0</v>
      </c>
      <c r="AG12" s="48"/>
      <c r="AH12" s="47">
        <f t="shared" si="27"/>
        <v>0</v>
      </c>
      <c r="AI12" s="6">
        <f t="shared" si="73"/>
        <v>0</v>
      </c>
      <c r="AJ12" s="6">
        <f t="shared" si="29"/>
        <v>0</v>
      </c>
      <c r="AK12" s="48"/>
      <c r="AL12" s="47">
        <f t="shared" si="30"/>
        <v>0</v>
      </c>
      <c r="AM12" s="6">
        <f t="shared" si="76"/>
        <v>0</v>
      </c>
      <c r="AN12" s="6">
        <f t="shared" si="32"/>
        <v>0</v>
      </c>
      <c r="AO12" s="48"/>
      <c r="AP12" s="47">
        <f t="shared" si="33"/>
        <v>0</v>
      </c>
      <c r="AQ12" s="6">
        <f t="shared" si="74"/>
        <v>0</v>
      </c>
      <c r="AR12" s="6">
        <f t="shared" si="35"/>
        <v>0</v>
      </c>
      <c r="AS12" s="48"/>
      <c r="AT12" s="47">
        <f t="shared" si="36"/>
        <v>0</v>
      </c>
      <c r="AU12" s="6">
        <f t="shared" si="75"/>
        <v>0</v>
      </c>
      <c r="AV12" s="6">
        <f t="shared" si="38"/>
        <v>0</v>
      </c>
      <c r="AW12" s="48"/>
      <c r="AX12" s="47">
        <f t="shared" si="0"/>
        <v>408.82</v>
      </c>
      <c r="AY12" s="6">
        <f t="shared" si="1"/>
        <v>408.82</v>
      </c>
      <c r="AZ12" s="48">
        <f t="shared" si="2"/>
        <v>0</v>
      </c>
      <c r="BA12" s="7">
        <f t="shared" si="65"/>
        <v>100</v>
      </c>
      <c r="BB12" s="8">
        <f t="shared" si="39"/>
        <v>0</v>
      </c>
      <c r="BC12" s="9">
        <f t="shared" si="40"/>
        <v>0</v>
      </c>
    </row>
    <row r="13" spans="1:59" s="6" customFormat="1" x14ac:dyDescent="0.2">
      <c r="A13" s="153" t="s">
        <v>213</v>
      </c>
      <c r="B13" s="47">
        <f t="shared" si="3"/>
        <v>1134.25</v>
      </c>
      <c r="C13" s="6">
        <f t="shared" si="4"/>
        <v>1134.25</v>
      </c>
      <c r="D13" s="6">
        <f t="shared" si="5"/>
        <v>0</v>
      </c>
      <c r="E13" s="48">
        <v>1134.25</v>
      </c>
      <c r="F13" s="47">
        <f t="shared" si="6"/>
        <v>0</v>
      </c>
      <c r="G13" s="6">
        <f t="shared" si="66"/>
        <v>0</v>
      </c>
      <c r="H13" s="6">
        <f t="shared" si="8"/>
        <v>0</v>
      </c>
      <c r="I13" s="48"/>
      <c r="J13" s="47">
        <f t="shared" si="9"/>
        <v>1171.98</v>
      </c>
      <c r="K13" s="6">
        <f t="shared" si="68"/>
        <v>1171.98</v>
      </c>
      <c r="L13" s="6">
        <f t="shared" si="11"/>
        <v>0</v>
      </c>
      <c r="M13" s="48">
        <v>1171.98</v>
      </c>
      <c r="N13" s="47">
        <f t="shared" si="12"/>
        <v>0</v>
      </c>
      <c r="O13" s="6">
        <f t="shared" si="67"/>
        <v>0</v>
      </c>
      <c r="P13" s="6">
        <f t="shared" si="14"/>
        <v>0</v>
      </c>
      <c r="Q13" s="48"/>
      <c r="R13" s="47">
        <f t="shared" si="15"/>
        <v>0</v>
      </c>
      <c r="S13" s="6">
        <f t="shared" si="69"/>
        <v>0</v>
      </c>
      <c r="T13" s="6">
        <f t="shared" si="17"/>
        <v>0</v>
      </c>
      <c r="U13" s="48"/>
      <c r="V13" s="47">
        <f t="shared" si="18"/>
        <v>0</v>
      </c>
      <c r="W13" s="6">
        <f t="shared" si="70"/>
        <v>0</v>
      </c>
      <c r="X13" s="6">
        <f t="shared" si="20"/>
        <v>0</v>
      </c>
      <c r="Y13" s="48"/>
      <c r="Z13" s="47">
        <f t="shared" si="21"/>
        <v>0</v>
      </c>
      <c r="AA13" s="6">
        <f t="shared" si="71"/>
        <v>0</v>
      </c>
      <c r="AB13" s="6">
        <f t="shared" si="23"/>
        <v>0</v>
      </c>
      <c r="AC13" s="48"/>
      <c r="AD13" s="47">
        <f t="shared" si="24"/>
        <v>0</v>
      </c>
      <c r="AE13" s="6">
        <f t="shared" si="72"/>
        <v>0</v>
      </c>
      <c r="AF13" s="6">
        <f t="shared" si="26"/>
        <v>0</v>
      </c>
      <c r="AG13" s="48"/>
      <c r="AH13" s="47">
        <f t="shared" si="27"/>
        <v>0</v>
      </c>
      <c r="AI13" s="6">
        <f t="shared" si="73"/>
        <v>0</v>
      </c>
      <c r="AJ13" s="6">
        <f t="shared" si="29"/>
        <v>0</v>
      </c>
      <c r="AK13" s="48"/>
      <c r="AL13" s="47">
        <f t="shared" si="30"/>
        <v>0</v>
      </c>
      <c r="AM13" s="6">
        <f t="shared" si="76"/>
        <v>0</v>
      </c>
      <c r="AN13" s="6">
        <f t="shared" si="32"/>
        <v>0</v>
      </c>
      <c r="AO13" s="48"/>
      <c r="AP13" s="47">
        <f t="shared" si="33"/>
        <v>0</v>
      </c>
      <c r="AQ13" s="6">
        <f t="shared" si="74"/>
        <v>0</v>
      </c>
      <c r="AR13" s="6">
        <f t="shared" si="35"/>
        <v>0</v>
      </c>
      <c r="AS13" s="48"/>
      <c r="AT13" s="47">
        <f t="shared" si="36"/>
        <v>0</v>
      </c>
      <c r="AU13" s="6">
        <f t="shared" si="75"/>
        <v>0</v>
      </c>
      <c r="AV13" s="6">
        <f t="shared" si="38"/>
        <v>0</v>
      </c>
      <c r="AW13" s="48"/>
      <c r="AX13" s="47">
        <f t="shared" si="0"/>
        <v>2306.23</v>
      </c>
      <c r="AY13" s="6">
        <f t="shared" si="1"/>
        <v>2306.23</v>
      </c>
      <c r="AZ13" s="48">
        <f t="shared" si="2"/>
        <v>0</v>
      </c>
      <c r="BA13" s="7">
        <f t="shared" si="65"/>
        <v>100</v>
      </c>
      <c r="BB13" s="8">
        <f t="shared" si="39"/>
        <v>0</v>
      </c>
      <c r="BC13" s="9">
        <f t="shared" si="40"/>
        <v>0</v>
      </c>
    </row>
    <row r="14" spans="1:59" s="6" customFormat="1" x14ac:dyDescent="0.2">
      <c r="A14" s="153" t="s">
        <v>15</v>
      </c>
      <c r="B14" s="47">
        <f t="shared" si="3"/>
        <v>0</v>
      </c>
      <c r="C14" s="6">
        <f t="shared" si="4"/>
        <v>0</v>
      </c>
      <c r="D14" s="6">
        <f t="shared" si="5"/>
        <v>0</v>
      </c>
      <c r="E14" s="48"/>
      <c r="F14" s="47">
        <f t="shared" si="6"/>
        <v>361.86</v>
      </c>
      <c r="G14" s="6">
        <f t="shared" si="66"/>
        <v>361.86</v>
      </c>
      <c r="H14" s="6">
        <f t="shared" si="8"/>
        <v>0</v>
      </c>
      <c r="I14" s="48">
        <f>176.39+185.47</f>
        <v>361.86</v>
      </c>
      <c r="J14" s="47">
        <f t="shared" si="9"/>
        <v>0</v>
      </c>
      <c r="K14" s="6">
        <f t="shared" si="68"/>
        <v>0</v>
      </c>
      <c r="L14" s="6">
        <f t="shared" si="11"/>
        <v>0</v>
      </c>
      <c r="M14" s="48"/>
      <c r="N14" s="47">
        <f t="shared" si="12"/>
        <v>0</v>
      </c>
      <c r="O14" s="6">
        <f t="shared" si="67"/>
        <v>0</v>
      </c>
      <c r="P14" s="6">
        <f t="shared" si="14"/>
        <v>0</v>
      </c>
      <c r="Q14" s="48"/>
      <c r="R14" s="47">
        <f t="shared" si="15"/>
        <v>0</v>
      </c>
      <c r="S14" s="6">
        <f t="shared" si="69"/>
        <v>0</v>
      </c>
      <c r="T14" s="6">
        <f t="shared" si="17"/>
        <v>0</v>
      </c>
      <c r="U14" s="48"/>
      <c r="V14" s="47">
        <f t="shared" si="18"/>
        <v>0</v>
      </c>
      <c r="W14" s="6">
        <f t="shared" si="70"/>
        <v>0</v>
      </c>
      <c r="X14" s="6">
        <f t="shared" si="20"/>
        <v>0</v>
      </c>
      <c r="Y14" s="48"/>
      <c r="Z14" s="47">
        <f t="shared" si="21"/>
        <v>0</v>
      </c>
      <c r="AA14" s="6">
        <f t="shared" si="71"/>
        <v>0</v>
      </c>
      <c r="AB14" s="6">
        <f t="shared" si="23"/>
        <v>0</v>
      </c>
      <c r="AC14" s="48"/>
      <c r="AD14" s="47">
        <f t="shared" si="24"/>
        <v>0</v>
      </c>
      <c r="AE14" s="6">
        <f t="shared" si="72"/>
        <v>0</v>
      </c>
      <c r="AF14" s="6">
        <f t="shared" si="26"/>
        <v>0</v>
      </c>
      <c r="AG14" s="48"/>
      <c r="AH14" s="47">
        <f t="shared" si="27"/>
        <v>0</v>
      </c>
      <c r="AI14" s="6">
        <f t="shared" si="73"/>
        <v>0</v>
      </c>
      <c r="AJ14" s="6">
        <f t="shared" si="29"/>
        <v>0</v>
      </c>
      <c r="AK14" s="48"/>
      <c r="AL14" s="47">
        <f t="shared" si="30"/>
        <v>0</v>
      </c>
      <c r="AM14" s="6">
        <f t="shared" si="76"/>
        <v>0</v>
      </c>
      <c r="AN14" s="6">
        <f t="shared" si="32"/>
        <v>0</v>
      </c>
      <c r="AO14" s="48"/>
      <c r="AP14" s="47">
        <f t="shared" si="33"/>
        <v>0</v>
      </c>
      <c r="AQ14" s="6">
        <f t="shared" si="74"/>
        <v>0</v>
      </c>
      <c r="AR14" s="6">
        <f t="shared" si="35"/>
        <v>0</v>
      </c>
      <c r="AS14" s="48"/>
      <c r="AT14" s="47">
        <f t="shared" si="36"/>
        <v>0</v>
      </c>
      <c r="AU14" s="6">
        <f t="shared" si="75"/>
        <v>0</v>
      </c>
      <c r="AV14" s="6">
        <f t="shared" si="38"/>
        <v>0</v>
      </c>
      <c r="AW14" s="48"/>
      <c r="AX14" s="47">
        <f t="shared" si="0"/>
        <v>361.86</v>
      </c>
      <c r="AY14" s="6">
        <f t="shared" si="1"/>
        <v>361.86</v>
      </c>
      <c r="AZ14" s="48">
        <f t="shared" si="2"/>
        <v>0</v>
      </c>
      <c r="BA14" s="7">
        <f t="shared" si="65"/>
        <v>100</v>
      </c>
      <c r="BB14" s="8">
        <f t="shared" si="39"/>
        <v>0</v>
      </c>
      <c r="BC14" s="9">
        <f t="shared" si="40"/>
        <v>0</v>
      </c>
    </row>
    <row r="15" spans="1:59" s="145" customFormat="1" ht="24" customHeight="1" thickBot="1" x14ac:dyDescent="0.3">
      <c r="A15" s="154" t="s">
        <v>16</v>
      </c>
      <c r="B15" s="57">
        <f t="shared" ref="B15:AW15" si="77">SUM(B5:B14)</f>
        <v>20074.13</v>
      </c>
      <c r="C15" s="22">
        <f t="shared" si="77"/>
        <v>19780.75</v>
      </c>
      <c r="D15" s="22">
        <f t="shared" si="77"/>
        <v>293.38</v>
      </c>
      <c r="E15" s="58">
        <f t="shared" si="77"/>
        <v>20074.13</v>
      </c>
      <c r="F15" s="57">
        <f t="shared" si="77"/>
        <v>19550.98</v>
      </c>
      <c r="G15" s="22">
        <f t="shared" si="77"/>
        <v>19250.48</v>
      </c>
      <c r="H15" s="22">
        <f t="shared" si="77"/>
        <v>300.5</v>
      </c>
      <c r="I15" s="58">
        <f t="shared" si="77"/>
        <v>19550.98</v>
      </c>
      <c r="J15" s="57">
        <f t="shared" si="77"/>
        <v>2969.61</v>
      </c>
      <c r="K15" s="22">
        <f>SUM(K5:K14)</f>
        <v>2577.37</v>
      </c>
      <c r="L15" s="22">
        <f t="shared" si="77"/>
        <v>392.24</v>
      </c>
      <c r="M15" s="58">
        <f t="shared" si="77"/>
        <v>2969.61</v>
      </c>
      <c r="N15" s="57">
        <f t="shared" si="77"/>
        <v>0</v>
      </c>
      <c r="O15" s="22">
        <f t="shared" si="77"/>
        <v>0</v>
      </c>
      <c r="P15" s="22">
        <f t="shared" si="77"/>
        <v>0</v>
      </c>
      <c r="Q15" s="58">
        <f t="shared" si="77"/>
        <v>0</v>
      </c>
      <c r="R15" s="57">
        <f t="shared" si="77"/>
        <v>0</v>
      </c>
      <c r="S15" s="22">
        <f t="shared" si="77"/>
        <v>0</v>
      </c>
      <c r="T15" s="22">
        <f t="shared" si="77"/>
        <v>0</v>
      </c>
      <c r="U15" s="58">
        <f t="shared" si="77"/>
        <v>0</v>
      </c>
      <c r="V15" s="57">
        <f t="shared" si="77"/>
        <v>0</v>
      </c>
      <c r="W15" s="22">
        <f t="shared" si="77"/>
        <v>0</v>
      </c>
      <c r="X15" s="22">
        <f t="shared" si="77"/>
        <v>0</v>
      </c>
      <c r="Y15" s="58">
        <f t="shared" si="77"/>
        <v>0</v>
      </c>
      <c r="Z15" s="57">
        <f t="shared" si="77"/>
        <v>0</v>
      </c>
      <c r="AA15" s="22">
        <f t="shared" si="77"/>
        <v>0</v>
      </c>
      <c r="AB15" s="22">
        <f t="shared" si="77"/>
        <v>0</v>
      </c>
      <c r="AC15" s="58">
        <f t="shared" si="77"/>
        <v>0</v>
      </c>
      <c r="AD15" s="57">
        <f t="shared" si="77"/>
        <v>0</v>
      </c>
      <c r="AE15" s="22">
        <f t="shared" si="77"/>
        <v>0</v>
      </c>
      <c r="AF15" s="22">
        <f t="shared" si="77"/>
        <v>0</v>
      </c>
      <c r="AG15" s="58">
        <f t="shared" si="77"/>
        <v>0</v>
      </c>
      <c r="AH15" s="57">
        <f t="shared" si="77"/>
        <v>0</v>
      </c>
      <c r="AI15" s="22">
        <f t="shared" si="77"/>
        <v>0</v>
      </c>
      <c r="AJ15" s="22">
        <f t="shared" si="77"/>
        <v>0</v>
      </c>
      <c r="AK15" s="58">
        <f t="shared" si="77"/>
        <v>0</v>
      </c>
      <c r="AL15" s="57">
        <f t="shared" si="77"/>
        <v>0</v>
      </c>
      <c r="AM15" s="22">
        <f t="shared" si="77"/>
        <v>0</v>
      </c>
      <c r="AN15" s="22">
        <f t="shared" si="77"/>
        <v>0</v>
      </c>
      <c r="AO15" s="58">
        <f t="shared" si="77"/>
        <v>0</v>
      </c>
      <c r="AP15" s="57">
        <f t="shared" si="77"/>
        <v>0</v>
      </c>
      <c r="AQ15" s="22">
        <f t="shared" si="77"/>
        <v>0</v>
      </c>
      <c r="AR15" s="22">
        <f t="shared" si="77"/>
        <v>0</v>
      </c>
      <c r="AS15" s="58">
        <f t="shared" si="77"/>
        <v>0</v>
      </c>
      <c r="AT15" s="57">
        <f t="shared" si="77"/>
        <v>0</v>
      </c>
      <c r="AU15" s="22">
        <f t="shared" si="77"/>
        <v>0</v>
      </c>
      <c r="AV15" s="22">
        <f t="shared" si="77"/>
        <v>0</v>
      </c>
      <c r="AW15" s="58">
        <f t="shared" si="77"/>
        <v>0</v>
      </c>
      <c r="AX15" s="57">
        <f t="shared" si="0"/>
        <v>42594.720000000001</v>
      </c>
      <c r="AY15" s="22">
        <f t="shared" si="1"/>
        <v>41608.6</v>
      </c>
      <c r="AZ15" s="58">
        <f>D15+H15+L15+P15+T15+X15+AB15+AF15+AJ15+AN15+AR15+AV15</f>
        <v>986.12</v>
      </c>
      <c r="BA15" s="22"/>
      <c r="BB15" s="22"/>
      <c r="BC15" s="22">
        <f>SUM(BC4:BC14)</f>
        <v>0</v>
      </c>
    </row>
    <row r="16" spans="1:59" s="6" customFormat="1" x14ac:dyDescent="0.2">
      <c r="A16" s="155" t="s">
        <v>17</v>
      </c>
      <c r="B16" s="90"/>
      <c r="C16" s="91"/>
      <c r="D16" s="91"/>
      <c r="E16" s="92"/>
      <c r="F16" s="90"/>
      <c r="G16" s="91"/>
      <c r="H16" s="91"/>
      <c r="I16" s="92"/>
      <c r="J16" s="90"/>
      <c r="K16" s="91"/>
      <c r="L16" s="91"/>
      <c r="M16" s="92"/>
      <c r="N16" s="90"/>
      <c r="O16" s="91"/>
      <c r="P16" s="91"/>
      <c r="Q16" s="92"/>
      <c r="R16" s="90"/>
      <c r="S16" s="91"/>
      <c r="T16" s="91"/>
      <c r="U16" s="92"/>
      <c r="V16" s="90"/>
      <c r="W16" s="91"/>
      <c r="X16" s="91"/>
      <c r="Y16" s="92"/>
      <c r="Z16" s="90"/>
      <c r="AA16" s="91"/>
      <c r="AB16" s="91"/>
      <c r="AC16" s="92"/>
      <c r="AD16" s="90"/>
      <c r="AE16" s="91"/>
      <c r="AF16" s="91"/>
      <c r="AG16" s="92"/>
      <c r="AH16" s="90"/>
      <c r="AI16" s="91"/>
      <c r="AJ16" s="91"/>
      <c r="AK16" s="92"/>
      <c r="AL16" s="90"/>
      <c r="AM16" s="91"/>
      <c r="AN16" s="91"/>
      <c r="AO16" s="92"/>
      <c r="AP16" s="90"/>
      <c r="AQ16" s="91"/>
      <c r="AR16" s="91"/>
      <c r="AS16" s="92"/>
      <c r="AT16" s="90"/>
      <c r="AU16" s="91"/>
      <c r="AV16" s="91"/>
      <c r="AW16" s="92"/>
      <c r="AX16" s="90"/>
      <c r="AY16" s="91"/>
      <c r="AZ16" s="92"/>
      <c r="BA16" s="4"/>
      <c r="BB16" s="4"/>
      <c r="BC16" s="4"/>
    </row>
    <row r="17" spans="1:55" s="6" customFormat="1" x14ac:dyDescent="0.2">
      <c r="A17" s="153" t="s">
        <v>18</v>
      </c>
      <c r="B17" s="47">
        <f t="shared" ref="B17:B19" si="78">C17+D17</f>
        <v>0</v>
      </c>
      <c r="C17" s="6">
        <f t="shared" ref="C17:C19" si="79">E17*$BA17/100</f>
        <v>0</v>
      </c>
      <c r="D17" s="6">
        <f t="shared" ref="D17:D19" si="80">E17*$BB17/100</f>
        <v>0</v>
      </c>
      <c r="E17" s="48"/>
      <c r="F17" s="47">
        <f t="shared" ref="F17:F19" si="81">G17+H17</f>
        <v>0</v>
      </c>
      <c r="G17" s="6">
        <f t="shared" ref="G17:G19" si="82">I17*$BA17/100</f>
        <v>0</v>
      </c>
      <c r="H17" s="6">
        <f t="shared" ref="H17:H19" si="83">I17*$BB17/100</f>
        <v>0</v>
      </c>
      <c r="I17" s="48"/>
      <c r="J17" s="47">
        <f t="shared" ref="J17:J19" si="84">K17+L17</f>
        <v>905.03</v>
      </c>
      <c r="K17" s="6">
        <f t="shared" ref="K17:K19" si="85">M17*$BA17/100</f>
        <v>905.03</v>
      </c>
      <c r="L17" s="6">
        <f t="shared" ref="L17:L19" si="86">M17*$BB17/100</f>
        <v>0</v>
      </c>
      <c r="M17" s="48">
        <v>905.03</v>
      </c>
      <c r="N17" s="47">
        <f t="shared" ref="N17:N19" si="87">O17+P17</f>
        <v>0</v>
      </c>
      <c r="O17" s="6">
        <f t="shared" ref="O17:O19" si="88">Q17*$BA17/100</f>
        <v>0</v>
      </c>
      <c r="P17" s="6">
        <f t="shared" ref="P17:P19" si="89">Q17*$BB17/100</f>
        <v>0</v>
      </c>
      <c r="Q17" s="48"/>
      <c r="R17" s="47">
        <f t="shared" ref="R17:R19" si="90">S17+T17</f>
        <v>0</v>
      </c>
      <c r="S17" s="6">
        <f t="shared" ref="S17:S19" si="91">U17*$BA17/100</f>
        <v>0</v>
      </c>
      <c r="T17" s="6">
        <f t="shared" ref="T17:T19" si="92">U17*$BB17/100</f>
        <v>0</v>
      </c>
      <c r="U17" s="48"/>
      <c r="V17" s="47">
        <f t="shared" ref="V17:V19" si="93">W17+X17</f>
        <v>0</v>
      </c>
      <c r="W17" s="6">
        <f t="shared" ref="W17:W19" si="94">Y17*$BA17/100</f>
        <v>0</v>
      </c>
      <c r="X17" s="6">
        <f t="shared" ref="X17:X19" si="95">Y17*$BB17/100</f>
        <v>0</v>
      </c>
      <c r="Y17" s="48"/>
      <c r="Z17" s="47">
        <f t="shared" ref="Z17:Z19" si="96">AA17+AB17</f>
        <v>0</v>
      </c>
      <c r="AA17" s="6">
        <f t="shared" ref="AA17:AA19" si="97">AC17*$BA17/100</f>
        <v>0</v>
      </c>
      <c r="AB17" s="6">
        <f t="shared" ref="AB17:AB19" si="98">AC17*$BB17/100</f>
        <v>0</v>
      </c>
      <c r="AC17" s="48"/>
      <c r="AD17" s="47">
        <f t="shared" ref="AD17:AD19" si="99">AE17+AF17</f>
        <v>0</v>
      </c>
      <c r="AE17" s="6">
        <f t="shared" ref="AE17:AE19" si="100">AG17*$BA17/100</f>
        <v>0</v>
      </c>
      <c r="AF17" s="6">
        <f t="shared" ref="AF17:AF19" si="101">AG17*$BB17/100</f>
        <v>0</v>
      </c>
      <c r="AG17" s="48"/>
      <c r="AH17" s="47">
        <f t="shared" ref="AH17:AH19" si="102">AI17+AJ17</f>
        <v>0</v>
      </c>
      <c r="AI17" s="6">
        <f t="shared" ref="AI17:AI19" si="103">AK17*$BA17/100</f>
        <v>0</v>
      </c>
      <c r="AJ17" s="6">
        <f t="shared" ref="AJ17:AJ19" si="104">AK17*$BB17/100</f>
        <v>0</v>
      </c>
      <c r="AK17" s="48"/>
      <c r="AL17" s="47">
        <f t="shared" ref="AL17:AL19" si="105">AM17+AN17</f>
        <v>0</v>
      </c>
      <c r="AM17" s="6">
        <f t="shared" ref="AM17:AM19" si="106">AO17*$BA17/100</f>
        <v>0</v>
      </c>
      <c r="AN17" s="6">
        <f t="shared" ref="AN17:AN19" si="107">AO17*$BB17/100</f>
        <v>0</v>
      </c>
      <c r="AO17" s="48"/>
      <c r="AP17" s="47">
        <f t="shared" ref="AP17:AP19" si="108">AQ17+AR17</f>
        <v>0</v>
      </c>
      <c r="AQ17" s="6">
        <f t="shared" ref="AQ17:AQ19" si="109">AS17*$BA17/100</f>
        <v>0</v>
      </c>
      <c r="AR17" s="6">
        <f t="shared" ref="AR17:AR19" si="110">AS17*$BB17/100</f>
        <v>0</v>
      </c>
      <c r="AS17" s="48"/>
      <c r="AT17" s="47">
        <f t="shared" ref="AT17:AT19" si="111">AU17+AV17</f>
        <v>0</v>
      </c>
      <c r="AU17" s="6">
        <f t="shared" ref="AU17:AU19" si="112">AW17*$BA17/100</f>
        <v>0</v>
      </c>
      <c r="AV17" s="6">
        <f t="shared" ref="AV17:AV19" si="113">AW17*$BB17/100</f>
        <v>0</v>
      </c>
      <c r="AW17" s="48"/>
      <c r="AX17" s="47">
        <f t="shared" ref="AX17:AZ20" si="114">B17+F17+J17+N17+R17+V17+Z17+AD17+AH17+AL17+AP17+AT17</f>
        <v>905.03</v>
      </c>
      <c r="AY17" s="6">
        <f t="shared" si="114"/>
        <v>905.03</v>
      </c>
      <c r="AZ17" s="48">
        <f t="shared" si="114"/>
        <v>0</v>
      </c>
      <c r="BA17" s="7">
        <f t="shared" ref="BA17:BA19" si="115">BC$1</f>
        <v>100</v>
      </c>
      <c r="BB17" s="8">
        <f t="shared" ref="BB17:BB19" si="116">100-BA17</f>
        <v>0</v>
      </c>
      <c r="BC17" s="9">
        <f t="shared" si="40"/>
        <v>0</v>
      </c>
    </row>
    <row r="18" spans="1:55" s="6" customFormat="1" x14ac:dyDescent="0.2">
      <c r="A18" s="153" t="s">
        <v>19</v>
      </c>
      <c r="B18" s="47">
        <f t="shared" si="78"/>
        <v>0</v>
      </c>
      <c r="C18" s="6">
        <f t="shared" si="79"/>
        <v>0</v>
      </c>
      <c r="D18" s="6">
        <f t="shared" si="80"/>
        <v>0</v>
      </c>
      <c r="E18" s="48"/>
      <c r="F18" s="47">
        <f t="shared" si="81"/>
        <v>0</v>
      </c>
      <c r="G18" s="6">
        <f t="shared" si="82"/>
        <v>0</v>
      </c>
      <c r="H18" s="6">
        <f t="shared" si="83"/>
        <v>0</v>
      </c>
      <c r="I18" s="48"/>
      <c r="J18" s="47">
        <f t="shared" si="84"/>
        <v>0</v>
      </c>
      <c r="K18" s="6">
        <f t="shared" si="85"/>
        <v>0</v>
      </c>
      <c r="L18" s="6">
        <f t="shared" si="86"/>
        <v>0</v>
      </c>
      <c r="M18" s="48"/>
      <c r="N18" s="47">
        <f t="shared" si="87"/>
        <v>0</v>
      </c>
      <c r="O18" s="6">
        <f t="shared" si="88"/>
        <v>0</v>
      </c>
      <c r="P18" s="6">
        <f t="shared" si="89"/>
        <v>0</v>
      </c>
      <c r="Q18" s="48"/>
      <c r="R18" s="47">
        <f t="shared" si="90"/>
        <v>0</v>
      </c>
      <c r="S18" s="6">
        <f t="shared" si="91"/>
        <v>0</v>
      </c>
      <c r="T18" s="6">
        <f t="shared" si="92"/>
        <v>0</v>
      </c>
      <c r="U18" s="48"/>
      <c r="V18" s="47">
        <f t="shared" si="93"/>
        <v>0</v>
      </c>
      <c r="W18" s="6">
        <f t="shared" si="94"/>
        <v>0</v>
      </c>
      <c r="X18" s="6">
        <f t="shared" si="95"/>
        <v>0</v>
      </c>
      <c r="Y18" s="48"/>
      <c r="Z18" s="47">
        <f t="shared" si="96"/>
        <v>0</v>
      </c>
      <c r="AA18" s="6">
        <f t="shared" si="97"/>
        <v>0</v>
      </c>
      <c r="AB18" s="6">
        <f t="shared" si="98"/>
        <v>0</v>
      </c>
      <c r="AC18" s="48"/>
      <c r="AD18" s="47">
        <f t="shared" si="99"/>
        <v>0</v>
      </c>
      <c r="AE18" s="6">
        <f t="shared" si="100"/>
        <v>0</v>
      </c>
      <c r="AF18" s="6">
        <f t="shared" si="101"/>
        <v>0</v>
      </c>
      <c r="AG18" s="48"/>
      <c r="AH18" s="47">
        <f t="shared" si="102"/>
        <v>0</v>
      </c>
      <c r="AI18" s="6">
        <f t="shared" si="103"/>
        <v>0</v>
      </c>
      <c r="AJ18" s="6">
        <f t="shared" si="104"/>
        <v>0</v>
      </c>
      <c r="AK18" s="48"/>
      <c r="AL18" s="47">
        <f t="shared" si="105"/>
        <v>0</v>
      </c>
      <c r="AM18" s="6">
        <f t="shared" si="106"/>
        <v>0</v>
      </c>
      <c r="AN18" s="6">
        <f t="shared" si="107"/>
        <v>0</v>
      </c>
      <c r="AO18" s="48"/>
      <c r="AP18" s="47">
        <f t="shared" si="108"/>
        <v>0</v>
      </c>
      <c r="AQ18" s="6">
        <f t="shared" si="109"/>
        <v>0</v>
      </c>
      <c r="AR18" s="6">
        <f t="shared" si="110"/>
        <v>0</v>
      </c>
      <c r="AS18" s="48"/>
      <c r="AT18" s="47">
        <f t="shared" si="111"/>
        <v>0</v>
      </c>
      <c r="AU18" s="6">
        <f t="shared" si="112"/>
        <v>0</v>
      </c>
      <c r="AV18" s="6">
        <f t="shared" si="113"/>
        <v>0</v>
      </c>
      <c r="AW18" s="48"/>
      <c r="AX18" s="47">
        <f t="shared" si="114"/>
        <v>0</v>
      </c>
      <c r="AY18" s="6">
        <f t="shared" si="114"/>
        <v>0</v>
      </c>
      <c r="AZ18" s="48">
        <f t="shared" si="114"/>
        <v>0</v>
      </c>
      <c r="BA18" s="7">
        <f t="shared" si="115"/>
        <v>100</v>
      </c>
      <c r="BB18" s="8">
        <f t="shared" si="116"/>
        <v>0</v>
      </c>
      <c r="BC18" s="9">
        <f t="shared" si="40"/>
        <v>0</v>
      </c>
    </row>
    <row r="19" spans="1:55" s="6" customFormat="1" x14ac:dyDescent="0.2">
      <c r="A19" s="153" t="s">
        <v>20</v>
      </c>
      <c r="B19" s="47">
        <f t="shared" si="78"/>
        <v>200.7</v>
      </c>
      <c r="C19" s="6">
        <f t="shared" si="79"/>
        <v>200.7</v>
      </c>
      <c r="D19" s="6">
        <f t="shared" si="80"/>
        <v>0</v>
      </c>
      <c r="E19" s="48">
        <v>200.7</v>
      </c>
      <c r="F19" s="47">
        <f t="shared" si="81"/>
        <v>0</v>
      </c>
      <c r="G19" s="6">
        <f t="shared" si="82"/>
        <v>0</v>
      </c>
      <c r="H19" s="6">
        <f t="shared" si="83"/>
        <v>0</v>
      </c>
      <c r="I19" s="48"/>
      <c r="J19" s="47">
        <f t="shared" si="84"/>
        <v>0</v>
      </c>
      <c r="K19" s="6">
        <f t="shared" si="85"/>
        <v>0</v>
      </c>
      <c r="L19" s="6">
        <f t="shared" si="86"/>
        <v>0</v>
      </c>
      <c r="M19" s="48"/>
      <c r="N19" s="47">
        <f t="shared" si="87"/>
        <v>0</v>
      </c>
      <c r="O19" s="6">
        <f t="shared" si="88"/>
        <v>0</v>
      </c>
      <c r="P19" s="6">
        <f t="shared" si="89"/>
        <v>0</v>
      </c>
      <c r="Q19" s="48"/>
      <c r="R19" s="47">
        <f t="shared" si="90"/>
        <v>0</v>
      </c>
      <c r="S19" s="6">
        <f t="shared" si="91"/>
        <v>0</v>
      </c>
      <c r="T19" s="6">
        <f t="shared" si="92"/>
        <v>0</v>
      </c>
      <c r="U19" s="48"/>
      <c r="V19" s="47">
        <f t="shared" si="93"/>
        <v>0</v>
      </c>
      <c r="W19" s="6">
        <f t="shared" si="94"/>
        <v>0</v>
      </c>
      <c r="X19" s="6">
        <f t="shared" si="95"/>
        <v>0</v>
      </c>
      <c r="Y19" s="48"/>
      <c r="Z19" s="47">
        <f t="shared" si="96"/>
        <v>0</v>
      </c>
      <c r="AA19" s="6">
        <f t="shared" si="97"/>
        <v>0</v>
      </c>
      <c r="AB19" s="6">
        <f t="shared" si="98"/>
        <v>0</v>
      </c>
      <c r="AC19" s="48"/>
      <c r="AD19" s="47">
        <f t="shared" si="99"/>
        <v>0</v>
      </c>
      <c r="AE19" s="6">
        <f t="shared" si="100"/>
        <v>0</v>
      </c>
      <c r="AF19" s="6">
        <f t="shared" si="101"/>
        <v>0</v>
      </c>
      <c r="AG19" s="48"/>
      <c r="AH19" s="47">
        <f t="shared" si="102"/>
        <v>0</v>
      </c>
      <c r="AI19" s="6">
        <f t="shared" si="103"/>
        <v>0</v>
      </c>
      <c r="AJ19" s="6">
        <f t="shared" si="104"/>
        <v>0</v>
      </c>
      <c r="AK19" s="48"/>
      <c r="AL19" s="47">
        <f t="shared" si="105"/>
        <v>0</v>
      </c>
      <c r="AM19" s="6">
        <f t="shared" si="106"/>
        <v>0</v>
      </c>
      <c r="AN19" s="6">
        <f t="shared" si="107"/>
        <v>0</v>
      </c>
      <c r="AO19" s="48"/>
      <c r="AP19" s="47">
        <f t="shared" si="108"/>
        <v>0</v>
      </c>
      <c r="AQ19" s="6">
        <f t="shared" si="109"/>
        <v>0</v>
      </c>
      <c r="AR19" s="6">
        <f t="shared" si="110"/>
        <v>0</v>
      </c>
      <c r="AS19" s="48"/>
      <c r="AT19" s="47">
        <f t="shared" si="111"/>
        <v>0</v>
      </c>
      <c r="AU19" s="6">
        <f t="shared" si="112"/>
        <v>0</v>
      </c>
      <c r="AV19" s="6">
        <f t="shared" si="113"/>
        <v>0</v>
      </c>
      <c r="AW19" s="48"/>
      <c r="AX19" s="47">
        <f t="shared" si="114"/>
        <v>200.7</v>
      </c>
      <c r="AY19" s="6">
        <f t="shared" si="114"/>
        <v>200.7</v>
      </c>
      <c r="AZ19" s="48">
        <f t="shared" si="114"/>
        <v>0</v>
      </c>
      <c r="BA19" s="7">
        <f t="shared" si="115"/>
        <v>100</v>
      </c>
      <c r="BB19" s="8">
        <f t="shared" si="116"/>
        <v>0</v>
      </c>
      <c r="BC19" s="9">
        <f t="shared" si="40"/>
        <v>0</v>
      </c>
    </row>
    <row r="20" spans="1:55" s="145" customFormat="1" ht="24" customHeight="1" thickBot="1" x14ac:dyDescent="0.3">
      <c r="A20" s="154" t="s">
        <v>16</v>
      </c>
      <c r="B20" s="57">
        <f t="shared" ref="B20:AW20" si="117">SUM(B17:B19)</f>
        <v>200.7</v>
      </c>
      <c r="C20" s="22">
        <f t="shared" si="117"/>
        <v>200.7</v>
      </c>
      <c r="D20" s="22">
        <f t="shared" si="117"/>
        <v>0</v>
      </c>
      <c r="E20" s="58">
        <f t="shared" si="117"/>
        <v>200.7</v>
      </c>
      <c r="F20" s="57">
        <f t="shared" si="117"/>
        <v>0</v>
      </c>
      <c r="G20" s="22">
        <f t="shared" si="117"/>
        <v>0</v>
      </c>
      <c r="H20" s="22">
        <f t="shared" si="117"/>
        <v>0</v>
      </c>
      <c r="I20" s="58">
        <f t="shared" si="117"/>
        <v>0</v>
      </c>
      <c r="J20" s="57">
        <f t="shared" si="117"/>
        <v>905.03</v>
      </c>
      <c r="K20" s="22">
        <f t="shared" si="117"/>
        <v>905.03</v>
      </c>
      <c r="L20" s="22">
        <f t="shared" si="117"/>
        <v>0</v>
      </c>
      <c r="M20" s="58">
        <f t="shared" si="117"/>
        <v>905.03</v>
      </c>
      <c r="N20" s="57">
        <f t="shared" si="117"/>
        <v>0</v>
      </c>
      <c r="O20" s="22">
        <f t="shared" si="117"/>
        <v>0</v>
      </c>
      <c r="P20" s="22">
        <f t="shared" si="117"/>
        <v>0</v>
      </c>
      <c r="Q20" s="58">
        <f t="shared" si="117"/>
        <v>0</v>
      </c>
      <c r="R20" s="57">
        <f t="shared" si="117"/>
        <v>0</v>
      </c>
      <c r="S20" s="22">
        <f t="shared" si="117"/>
        <v>0</v>
      </c>
      <c r="T20" s="22">
        <f t="shared" si="117"/>
        <v>0</v>
      </c>
      <c r="U20" s="58">
        <f t="shared" si="117"/>
        <v>0</v>
      </c>
      <c r="V20" s="57">
        <f t="shared" si="117"/>
        <v>0</v>
      </c>
      <c r="W20" s="22">
        <f t="shared" si="117"/>
        <v>0</v>
      </c>
      <c r="X20" s="22">
        <f t="shared" si="117"/>
        <v>0</v>
      </c>
      <c r="Y20" s="58">
        <f t="shared" si="117"/>
        <v>0</v>
      </c>
      <c r="Z20" s="57">
        <f t="shared" si="117"/>
        <v>0</v>
      </c>
      <c r="AA20" s="22">
        <f t="shared" si="117"/>
        <v>0</v>
      </c>
      <c r="AB20" s="22">
        <f t="shared" si="117"/>
        <v>0</v>
      </c>
      <c r="AC20" s="58">
        <f t="shared" si="117"/>
        <v>0</v>
      </c>
      <c r="AD20" s="57">
        <f t="shared" si="117"/>
        <v>0</v>
      </c>
      <c r="AE20" s="22">
        <f t="shared" si="117"/>
        <v>0</v>
      </c>
      <c r="AF20" s="22">
        <f t="shared" si="117"/>
        <v>0</v>
      </c>
      <c r="AG20" s="58">
        <f t="shared" si="117"/>
        <v>0</v>
      </c>
      <c r="AH20" s="57">
        <f t="shared" si="117"/>
        <v>0</v>
      </c>
      <c r="AI20" s="22">
        <f t="shared" si="117"/>
        <v>0</v>
      </c>
      <c r="AJ20" s="22">
        <f t="shared" si="117"/>
        <v>0</v>
      </c>
      <c r="AK20" s="58">
        <f t="shared" si="117"/>
        <v>0</v>
      </c>
      <c r="AL20" s="57">
        <f t="shared" si="117"/>
        <v>0</v>
      </c>
      <c r="AM20" s="22">
        <f t="shared" si="117"/>
        <v>0</v>
      </c>
      <c r="AN20" s="22">
        <f t="shared" si="117"/>
        <v>0</v>
      </c>
      <c r="AO20" s="58">
        <f t="shared" si="117"/>
        <v>0</v>
      </c>
      <c r="AP20" s="57">
        <f t="shared" si="117"/>
        <v>0</v>
      </c>
      <c r="AQ20" s="22">
        <f t="shared" si="117"/>
        <v>0</v>
      </c>
      <c r="AR20" s="22">
        <f t="shared" si="117"/>
        <v>0</v>
      </c>
      <c r="AS20" s="58">
        <f t="shared" si="117"/>
        <v>0</v>
      </c>
      <c r="AT20" s="57">
        <f t="shared" si="117"/>
        <v>0</v>
      </c>
      <c r="AU20" s="22">
        <f t="shared" si="117"/>
        <v>0</v>
      </c>
      <c r="AV20" s="22">
        <f t="shared" si="117"/>
        <v>0</v>
      </c>
      <c r="AW20" s="58">
        <f t="shared" si="117"/>
        <v>0</v>
      </c>
      <c r="AX20" s="57">
        <f t="shared" si="114"/>
        <v>1105.73</v>
      </c>
      <c r="AY20" s="22">
        <f t="shared" si="114"/>
        <v>1105.73</v>
      </c>
      <c r="AZ20" s="58">
        <f t="shared" si="114"/>
        <v>0</v>
      </c>
      <c r="BA20" s="22"/>
      <c r="BB20" s="22"/>
      <c r="BC20" s="22">
        <f>SUM(BC16:BC19)</f>
        <v>0</v>
      </c>
    </row>
    <row r="21" spans="1:55" s="6" customFormat="1" x14ac:dyDescent="0.2">
      <c r="A21" s="156" t="s">
        <v>21</v>
      </c>
      <c r="B21" s="90"/>
      <c r="C21" s="91"/>
      <c r="D21" s="91"/>
      <c r="E21" s="92"/>
      <c r="F21" s="90"/>
      <c r="G21" s="91"/>
      <c r="H21" s="91"/>
      <c r="I21" s="92"/>
      <c r="J21" s="90"/>
      <c r="K21" s="91"/>
      <c r="L21" s="91"/>
      <c r="M21" s="92"/>
      <c r="N21" s="90"/>
      <c r="O21" s="91"/>
      <c r="P21" s="91"/>
      <c r="Q21" s="92"/>
      <c r="R21" s="90"/>
      <c r="S21" s="91"/>
      <c r="T21" s="91"/>
      <c r="U21" s="92"/>
      <c r="V21" s="90"/>
      <c r="W21" s="91"/>
      <c r="X21" s="91"/>
      <c r="Y21" s="92"/>
      <c r="Z21" s="90"/>
      <c r="AA21" s="91"/>
      <c r="AB21" s="91"/>
      <c r="AC21" s="92"/>
      <c r="AD21" s="90"/>
      <c r="AE21" s="91"/>
      <c r="AF21" s="91"/>
      <c r="AG21" s="92"/>
      <c r="AH21" s="90"/>
      <c r="AI21" s="91"/>
      <c r="AJ21" s="91"/>
      <c r="AK21" s="92"/>
      <c r="AL21" s="90"/>
      <c r="AM21" s="91"/>
      <c r="AN21" s="91"/>
      <c r="AO21" s="92"/>
      <c r="AP21" s="90"/>
      <c r="AQ21" s="91"/>
      <c r="AR21" s="91"/>
      <c r="AS21" s="92"/>
      <c r="AT21" s="90"/>
      <c r="AU21" s="91"/>
      <c r="AV21" s="91"/>
      <c r="AW21" s="92"/>
      <c r="AX21" s="90"/>
      <c r="AY21" s="91"/>
      <c r="AZ21" s="92"/>
      <c r="BA21" s="4"/>
      <c r="BB21" s="4"/>
      <c r="BC21" s="4"/>
    </row>
    <row r="22" spans="1:55" s="6" customFormat="1" x14ac:dyDescent="0.2">
      <c r="A22" s="153" t="s">
        <v>22</v>
      </c>
      <c r="B22" s="47">
        <f t="shared" ref="B22:B26" si="118">C22+D22</f>
        <v>0</v>
      </c>
      <c r="C22" s="6">
        <f t="shared" ref="C22:C26" si="119">E22*$BA22/100</f>
        <v>0</v>
      </c>
      <c r="D22" s="6">
        <f t="shared" ref="D22:D26" si="120">E22*$BB22/100</f>
        <v>0</v>
      </c>
      <c r="E22" s="48"/>
      <c r="F22" s="47">
        <f t="shared" ref="F22:F26" si="121">G22+H22</f>
        <v>0</v>
      </c>
      <c r="G22" s="6">
        <f t="shared" ref="G22:G26" si="122">I22*$BA22/100</f>
        <v>0</v>
      </c>
      <c r="H22" s="6">
        <f t="shared" ref="H22:H26" si="123">I22*$BB22/100</f>
        <v>0</v>
      </c>
      <c r="I22" s="48"/>
      <c r="J22" s="47">
        <f t="shared" ref="J22:J26" si="124">K22+L22</f>
        <v>0</v>
      </c>
      <c r="K22" s="6">
        <f t="shared" ref="K22:K26" si="125">M22*$BA22/100</f>
        <v>0</v>
      </c>
      <c r="L22" s="6">
        <f t="shared" ref="L22:L26" si="126">M22*$BB22/100</f>
        <v>0</v>
      </c>
      <c r="M22" s="48"/>
      <c r="N22" s="47">
        <f t="shared" ref="N22:N26" si="127">O22+P22</f>
        <v>0</v>
      </c>
      <c r="O22" s="6">
        <f t="shared" ref="O22:O26" si="128">Q22*$BA22/100</f>
        <v>0</v>
      </c>
      <c r="P22" s="6">
        <f t="shared" ref="P22:P26" si="129">Q22*$BB22/100</f>
        <v>0</v>
      </c>
      <c r="Q22" s="48"/>
      <c r="R22" s="47">
        <f t="shared" ref="R22:R26" si="130">S22+T22</f>
        <v>0</v>
      </c>
      <c r="S22" s="6">
        <f t="shared" ref="S22:S26" si="131">U22*$BA22/100</f>
        <v>0</v>
      </c>
      <c r="T22" s="6">
        <f t="shared" ref="T22:T26" si="132">U22*$BB22/100</f>
        <v>0</v>
      </c>
      <c r="U22" s="48"/>
      <c r="V22" s="47">
        <f t="shared" ref="V22:V26" si="133">W22+X22</f>
        <v>0</v>
      </c>
      <c r="W22" s="6">
        <f t="shared" ref="W22:W26" si="134">Y22*$BA22/100</f>
        <v>0</v>
      </c>
      <c r="X22" s="6">
        <f t="shared" ref="X22:X26" si="135">Y22*$BB22/100</f>
        <v>0</v>
      </c>
      <c r="Y22" s="48"/>
      <c r="Z22" s="47">
        <f t="shared" ref="Z22:Z26" si="136">AA22+AB22</f>
        <v>0</v>
      </c>
      <c r="AA22" s="6">
        <f t="shared" ref="AA22:AA26" si="137">AC22*$BA22/100</f>
        <v>0</v>
      </c>
      <c r="AB22" s="6">
        <f t="shared" ref="AB22:AB26" si="138">AC22*$BB22/100</f>
        <v>0</v>
      </c>
      <c r="AC22" s="48"/>
      <c r="AD22" s="47">
        <f t="shared" ref="AD22:AD26" si="139">AE22+AF22</f>
        <v>0</v>
      </c>
      <c r="AE22" s="6">
        <f t="shared" ref="AE22:AE26" si="140">AG22*$BA22/100</f>
        <v>0</v>
      </c>
      <c r="AF22" s="6">
        <f t="shared" ref="AF22:AF26" si="141">AG22*$BB22/100</f>
        <v>0</v>
      </c>
      <c r="AG22" s="48"/>
      <c r="AH22" s="47">
        <f t="shared" ref="AH22:AH26" si="142">AI22+AJ22</f>
        <v>0</v>
      </c>
      <c r="AI22" s="6">
        <f t="shared" ref="AI22:AI26" si="143">AK22*$BA22/100</f>
        <v>0</v>
      </c>
      <c r="AJ22" s="6">
        <f t="shared" ref="AJ22:AJ26" si="144">AK22*$BB22/100</f>
        <v>0</v>
      </c>
      <c r="AK22" s="48"/>
      <c r="AL22" s="47">
        <f t="shared" ref="AL22:AL26" si="145">AM22+AN22</f>
        <v>0</v>
      </c>
      <c r="AM22" s="6">
        <f t="shared" ref="AM22:AM26" si="146">AO22*$BA22/100</f>
        <v>0</v>
      </c>
      <c r="AN22" s="6">
        <f t="shared" ref="AN22:AN26" si="147">AO22*$BB22/100</f>
        <v>0</v>
      </c>
      <c r="AO22" s="48"/>
      <c r="AP22" s="47">
        <f t="shared" ref="AP22:AP26" si="148">AQ22+AR22</f>
        <v>0</v>
      </c>
      <c r="AQ22" s="6">
        <f t="shared" ref="AQ22:AQ26" si="149">AS22*$BA22/100</f>
        <v>0</v>
      </c>
      <c r="AR22" s="6">
        <f t="shared" ref="AR22:AR26" si="150">AS22*$BB22/100</f>
        <v>0</v>
      </c>
      <c r="AS22" s="48"/>
      <c r="AT22" s="47">
        <f t="shared" ref="AT22:AT26" si="151">AU22+AV22</f>
        <v>0</v>
      </c>
      <c r="AU22" s="6">
        <f t="shared" ref="AU22:AU26" si="152">AW22*$BA22/100</f>
        <v>0</v>
      </c>
      <c r="AV22" s="6">
        <f t="shared" ref="AV22:AV26" si="153">AW22*$BB22/100</f>
        <v>0</v>
      </c>
      <c r="AW22" s="48"/>
      <c r="AX22" s="47">
        <f t="shared" ref="AX22:AZ28" si="154">B22+F22+J22+N22+R22+V22+Z22+AD22+AH22+AL22+AP22+AT22</f>
        <v>0</v>
      </c>
      <c r="AY22" s="6">
        <f t="shared" si="154"/>
        <v>0</v>
      </c>
      <c r="AZ22" s="48">
        <f t="shared" si="154"/>
        <v>0</v>
      </c>
      <c r="BA22" s="7">
        <f t="shared" ref="BA22:BA26" si="155">BC$1</f>
        <v>100</v>
      </c>
      <c r="BB22" s="8">
        <f t="shared" ref="BB22:BB26" si="156">100-BA22</f>
        <v>0</v>
      </c>
      <c r="BC22" s="9">
        <f t="shared" si="40"/>
        <v>0</v>
      </c>
    </row>
    <row r="23" spans="1:55" s="6" customFormat="1" x14ac:dyDescent="0.2">
      <c r="A23" s="153" t="s">
        <v>243</v>
      </c>
      <c r="B23" s="47">
        <f t="shared" si="118"/>
        <v>960.64</v>
      </c>
      <c r="C23" s="6">
        <f t="shared" si="119"/>
        <v>960.64</v>
      </c>
      <c r="D23" s="6">
        <f t="shared" si="120"/>
        <v>0</v>
      </c>
      <c r="E23" s="48">
        <f>780.52+180.12</f>
        <v>960.64</v>
      </c>
      <c r="F23" s="47">
        <f t="shared" si="121"/>
        <v>180</v>
      </c>
      <c r="G23" s="6">
        <f t="shared" si="122"/>
        <v>180</v>
      </c>
      <c r="H23" s="6">
        <f t="shared" si="123"/>
        <v>0</v>
      </c>
      <c r="I23" s="48">
        <v>180</v>
      </c>
      <c r="J23" s="47">
        <f t="shared" si="124"/>
        <v>180</v>
      </c>
      <c r="K23" s="6">
        <f t="shared" si="125"/>
        <v>180</v>
      </c>
      <c r="L23" s="6">
        <f t="shared" si="126"/>
        <v>0</v>
      </c>
      <c r="M23" s="48">
        <v>180</v>
      </c>
      <c r="N23" s="47">
        <f t="shared" si="127"/>
        <v>0</v>
      </c>
      <c r="O23" s="6">
        <f t="shared" si="128"/>
        <v>0</v>
      </c>
      <c r="P23" s="6">
        <f t="shared" si="129"/>
        <v>0</v>
      </c>
      <c r="Q23" s="48"/>
      <c r="R23" s="47">
        <f t="shared" si="130"/>
        <v>0</v>
      </c>
      <c r="S23" s="6">
        <f t="shared" si="131"/>
        <v>0</v>
      </c>
      <c r="T23" s="6">
        <f t="shared" si="132"/>
        <v>0</v>
      </c>
      <c r="U23" s="48"/>
      <c r="V23" s="47">
        <f t="shared" si="133"/>
        <v>0</v>
      </c>
      <c r="W23" s="6">
        <f t="shared" si="134"/>
        <v>0</v>
      </c>
      <c r="X23" s="6">
        <f t="shared" si="135"/>
        <v>0</v>
      </c>
      <c r="Y23" s="48"/>
      <c r="Z23" s="47">
        <f t="shared" si="136"/>
        <v>0</v>
      </c>
      <c r="AA23" s="6">
        <f t="shared" si="137"/>
        <v>0</v>
      </c>
      <c r="AB23" s="6">
        <f t="shared" si="138"/>
        <v>0</v>
      </c>
      <c r="AC23" s="48"/>
      <c r="AD23" s="47">
        <f t="shared" si="139"/>
        <v>0</v>
      </c>
      <c r="AE23" s="6">
        <f t="shared" si="140"/>
        <v>0</v>
      </c>
      <c r="AF23" s="6">
        <f t="shared" si="141"/>
        <v>0</v>
      </c>
      <c r="AG23" s="48"/>
      <c r="AH23" s="47">
        <f t="shared" si="142"/>
        <v>0</v>
      </c>
      <c r="AI23" s="6">
        <f t="shared" si="143"/>
        <v>0</v>
      </c>
      <c r="AJ23" s="6">
        <f t="shared" si="144"/>
        <v>0</v>
      </c>
      <c r="AK23" s="48"/>
      <c r="AL23" s="47">
        <f t="shared" si="145"/>
        <v>0</v>
      </c>
      <c r="AM23" s="6">
        <f t="shared" si="146"/>
        <v>0</v>
      </c>
      <c r="AN23" s="6">
        <f t="shared" si="147"/>
        <v>0</v>
      </c>
      <c r="AO23" s="48"/>
      <c r="AP23" s="47">
        <f t="shared" si="148"/>
        <v>0</v>
      </c>
      <c r="AQ23" s="6">
        <f t="shared" si="149"/>
        <v>0</v>
      </c>
      <c r="AR23" s="6">
        <f t="shared" si="150"/>
        <v>0</v>
      </c>
      <c r="AS23" s="48"/>
      <c r="AT23" s="47">
        <f t="shared" si="151"/>
        <v>0</v>
      </c>
      <c r="AU23" s="6">
        <f t="shared" si="152"/>
        <v>0</v>
      </c>
      <c r="AV23" s="6">
        <f t="shared" si="153"/>
        <v>0</v>
      </c>
      <c r="AW23" s="48"/>
      <c r="AX23" s="47">
        <f t="shared" si="154"/>
        <v>1320.6399999999999</v>
      </c>
      <c r="AY23" s="6">
        <f t="shared" si="154"/>
        <v>1320.6399999999999</v>
      </c>
      <c r="AZ23" s="48">
        <f t="shared" si="154"/>
        <v>0</v>
      </c>
      <c r="BA23" s="7">
        <f t="shared" si="155"/>
        <v>100</v>
      </c>
      <c r="BB23" s="8">
        <f t="shared" si="156"/>
        <v>0</v>
      </c>
      <c r="BC23" s="9">
        <f t="shared" si="40"/>
        <v>0</v>
      </c>
    </row>
    <row r="24" spans="1:55" s="6" customFormat="1" x14ac:dyDescent="0.2">
      <c r="A24" s="153" t="s">
        <v>23</v>
      </c>
      <c r="B24" s="47">
        <f t="shared" ref="B24:B25" si="157">C24+D24</f>
        <v>0</v>
      </c>
      <c r="C24" s="6">
        <f t="shared" ref="C24:C25" si="158">E24*$BA24/100</f>
        <v>0</v>
      </c>
      <c r="D24" s="6">
        <f t="shared" ref="D24:D25" si="159">E24*$BB24/100</f>
        <v>0</v>
      </c>
      <c r="E24" s="48"/>
      <c r="F24" s="47">
        <f t="shared" ref="F24:F25" si="160">G24+H24</f>
        <v>0</v>
      </c>
      <c r="G24" s="6">
        <f t="shared" ref="G24:G25" si="161">I24*$BA24/100</f>
        <v>0</v>
      </c>
      <c r="H24" s="6">
        <f t="shared" ref="H24:H25" si="162">I24*$BB24/100</f>
        <v>0</v>
      </c>
      <c r="I24" s="48"/>
      <c r="J24" s="47">
        <f t="shared" ref="J24:J25" si="163">K24+L24</f>
        <v>0</v>
      </c>
      <c r="K24" s="6">
        <f t="shared" ref="K24:K25" si="164">M24*$BA24/100</f>
        <v>0</v>
      </c>
      <c r="L24" s="6">
        <f t="shared" ref="L24:L25" si="165">M24*$BB24/100</f>
        <v>0</v>
      </c>
      <c r="M24" s="48"/>
      <c r="N24" s="47">
        <f t="shared" ref="N24:N25" si="166">O24+P24</f>
        <v>0</v>
      </c>
      <c r="O24" s="6">
        <f t="shared" ref="O24:O25" si="167">Q24*$BA24/100</f>
        <v>0</v>
      </c>
      <c r="P24" s="6">
        <f t="shared" ref="P24:P25" si="168">Q24*$BB24/100</f>
        <v>0</v>
      </c>
      <c r="Q24" s="48"/>
      <c r="R24" s="47">
        <f t="shared" ref="R24:R25" si="169">S24+T24</f>
        <v>0</v>
      </c>
      <c r="S24" s="6">
        <f t="shared" ref="S24:S25" si="170">U24*$BA24/100</f>
        <v>0</v>
      </c>
      <c r="T24" s="6">
        <f t="shared" ref="T24:T25" si="171">U24*$BB24/100</f>
        <v>0</v>
      </c>
      <c r="U24" s="48"/>
      <c r="V24" s="47">
        <f t="shared" ref="V24:V25" si="172">W24+X24</f>
        <v>0</v>
      </c>
      <c r="W24" s="6">
        <f t="shared" ref="W24:W25" si="173">Y24*$BA24/100</f>
        <v>0</v>
      </c>
      <c r="X24" s="6">
        <f t="shared" ref="X24:X25" si="174">Y24*$BB24/100</f>
        <v>0</v>
      </c>
      <c r="Y24" s="48"/>
      <c r="Z24" s="47">
        <f t="shared" ref="Z24:Z25" si="175">AA24+AB24</f>
        <v>0</v>
      </c>
      <c r="AA24" s="6">
        <f t="shared" ref="AA24:AA25" si="176">AC24*$BA24/100</f>
        <v>0</v>
      </c>
      <c r="AB24" s="6">
        <f t="shared" ref="AB24:AB25" si="177">AC24*$BB24/100</f>
        <v>0</v>
      </c>
      <c r="AC24" s="48"/>
      <c r="AD24" s="47">
        <f t="shared" ref="AD24:AD25" si="178">AE24+AF24</f>
        <v>0</v>
      </c>
      <c r="AE24" s="6">
        <f t="shared" ref="AE24:AE25" si="179">AG24*$BA24/100</f>
        <v>0</v>
      </c>
      <c r="AF24" s="6">
        <f t="shared" ref="AF24:AF25" si="180">AG24*$BB24/100</f>
        <v>0</v>
      </c>
      <c r="AG24" s="48"/>
      <c r="AH24" s="47">
        <f t="shared" ref="AH24:AH25" si="181">AI24+AJ24</f>
        <v>0</v>
      </c>
      <c r="AI24" s="6">
        <f t="shared" ref="AI24:AI25" si="182">AK24*$BA24/100</f>
        <v>0</v>
      </c>
      <c r="AJ24" s="6">
        <f t="shared" ref="AJ24:AJ25" si="183">AK24*$BB24/100</f>
        <v>0</v>
      </c>
      <c r="AK24" s="48"/>
      <c r="AL24" s="47">
        <f t="shared" ref="AL24:AL25" si="184">AM24+AN24</f>
        <v>0</v>
      </c>
      <c r="AM24" s="6">
        <f t="shared" ref="AM24:AM25" si="185">AO24*$BA24/100</f>
        <v>0</v>
      </c>
      <c r="AN24" s="6">
        <f t="shared" ref="AN24:AN25" si="186">AO24*$BB24/100</f>
        <v>0</v>
      </c>
      <c r="AO24" s="48"/>
      <c r="AP24" s="47">
        <f t="shared" ref="AP24:AP25" si="187">AQ24+AR24</f>
        <v>0</v>
      </c>
      <c r="AQ24" s="6">
        <f t="shared" ref="AQ24:AQ25" si="188">AS24*$BA24/100</f>
        <v>0</v>
      </c>
      <c r="AR24" s="6">
        <f t="shared" ref="AR24:AR25" si="189">AS24*$BB24/100</f>
        <v>0</v>
      </c>
      <c r="AS24" s="48"/>
      <c r="AT24" s="47">
        <f t="shared" ref="AT24:AT25" si="190">AU24+AV24</f>
        <v>0</v>
      </c>
      <c r="AU24" s="6">
        <f t="shared" ref="AU24:AU25" si="191">AW24*$BA24/100</f>
        <v>0</v>
      </c>
      <c r="AV24" s="6">
        <f t="shared" ref="AV24:AV25" si="192">AW24*$BB24/100</f>
        <v>0</v>
      </c>
      <c r="AW24" s="48"/>
      <c r="AX24" s="47">
        <f t="shared" ref="AX24:AX25" si="193">B24+F24+J24+N24+R24+V24+Z24+AD24+AH24+AL24+AP24+AT24</f>
        <v>0</v>
      </c>
      <c r="AY24" s="6">
        <f t="shared" ref="AY24:AY25" si="194">C24+G24+K24+O24+S24+W24+AA24+AE24+AI24+AM24+AQ24+AU24</f>
        <v>0</v>
      </c>
      <c r="AZ24" s="48">
        <f t="shared" ref="AZ24:AZ25" si="195">D24+H24+L24+P24+T24+X24+AB24+AF24+AJ24+AN24+AR24+AV24</f>
        <v>0</v>
      </c>
      <c r="BA24" s="7">
        <f t="shared" si="155"/>
        <v>100</v>
      </c>
      <c r="BB24" s="8">
        <f t="shared" si="156"/>
        <v>0</v>
      </c>
      <c r="BC24" s="9">
        <f t="shared" si="40"/>
        <v>0</v>
      </c>
    </row>
    <row r="25" spans="1:55" s="6" customFormat="1" x14ac:dyDescent="0.2">
      <c r="A25" s="153" t="s">
        <v>244</v>
      </c>
      <c r="B25" s="47">
        <f t="shared" si="157"/>
        <v>519.98</v>
      </c>
      <c r="C25" s="6">
        <f t="shared" si="158"/>
        <v>519.98</v>
      </c>
      <c r="D25" s="6">
        <f t="shared" si="159"/>
        <v>0</v>
      </c>
      <c r="E25" s="48">
        <f>460+59.98</f>
        <v>519.98</v>
      </c>
      <c r="F25" s="47">
        <f t="shared" si="160"/>
        <v>0</v>
      </c>
      <c r="G25" s="6">
        <f t="shared" si="161"/>
        <v>0</v>
      </c>
      <c r="H25" s="6">
        <f t="shared" si="162"/>
        <v>0</v>
      </c>
      <c r="I25" s="48"/>
      <c r="J25" s="47">
        <f t="shared" si="163"/>
        <v>0</v>
      </c>
      <c r="K25" s="6">
        <f t="shared" si="164"/>
        <v>0</v>
      </c>
      <c r="L25" s="6">
        <f t="shared" si="165"/>
        <v>0</v>
      </c>
      <c r="M25" s="48"/>
      <c r="N25" s="47">
        <f t="shared" si="166"/>
        <v>0</v>
      </c>
      <c r="O25" s="6">
        <f t="shared" si="167"/>
        <v>0</v>
      </c>
      <c r="P25" s="6">
        <f t="shared" si="168"/>
        <v>0</v>
      </c>
      <c r="Q25" s="48"/>
      <c r="R25" s="47">
        <f t="shared" si="169"/>
        <v>0</v>
      </c>
      <c r="S25" s="6">
        <f t="shared" si="170"/>
        <v>0</v>
      </c>
      <c r="T25" s="6">
        <f t="shared" si="171"/>
        <v>0</v>
      </c>
      <c r="U25" s="48"/>
      <c r="V25" s="47">
        <f t="shared" si="172"/>
        <v>0</v>
      </c>
      <c r="W25" s="6">
        <f t="shared" si="173"/>
        <v>0</v>
      </c>
      <c r="X25" s="6">
        <f t="shared" si="174"/>
        <v>0</v>
      </c>
      <c r="Y25" s="48"/>
      <c r="Z25" s="47">
        <f t="shared" si="175"/>
        <v>0</v>
      </c>
      <c r="AA25" s="6">
        <f t="shared" si="176"/>
        <v>0</v>
      </c>
      <c r="AB25" s="6">
        <f t="shared" si="177"/>
        <v>0</v>
      </c>
      <c r="AC25" s="48"/>
      <c r="AD25" s="47">
        <f t="shared" si="178"/>
        <v>0</v>
      </c>
      <c r="AE25" s="6">
        <f t="shared" si="179"/>
        <v>0</v>
      </c>
      <c r="AF25" s="6">
        <f t="shared" si="180"/>
        <v>0</v>
      </c>
      <c r="AG25" s="48"/>
      <c r="AH25" s="47">
        <f t="shared" si="181"/>
        <v>0</v>
      </c>
      <c r="AI25" s="6">
        <f t="shared" si="182"/>
        <v>0</v>
      </c>
      <c r="AJ25" s="6">
        <f t="shared" si="183"/>
        <v>0</v>
      </c>
      <c r="AK25" s="48"/>
      <c r="AL25" s="47">
        <f t="shared" si="184"/>
        <v>0</v>
      </c>
      <c r="AM25" s="6">
        <f t="shared" si="185"/>
        <v>0</v>
      </c>
      <c r="AN25" s="6">
        <f t="shared" si="186"/>
        <v>0</v>
      </c>
      <c r="AO25" s="48"/>
      <c r="AP25" s="47">
        <f t="shared" si="187"/>
        <v>0</v>
      </c>
      <c r="AQ25" s="6">
        <f t="shared" si="188"/>
        <v>0</v>
      </c>
      <c r="AR25" s="6">
        <f t="shared" si="189"/>
        <v>0</v>
      </c>
      <c r="AS25" s="48"/>
      <c r="AT25" s="47">
        <f t="shared" si="190"/>
        <v>0</v>
      </c>
      <c r="AU25" s="6">
        <f t="shared" si="191"/>
        <v>0</v>
      </c>
      <c r="AV25" s="6">
        <f t="shared" si="192"/>
        <v>0</v>
      </c>
      <c r="AW25" s="48"/>
      <c r="AX25" s="47">
        <f t="shared" si="193"/>
        <v>519.98</v>
      </c>
      <c r="AY25" s="6">
        <f t="shared" si="194"/>
        <v>519.98</v>
      </c>
      <c r="AZ25" s="48">
        <f t="shared" si="195"/>
        <v>0</v>
      </c>
      <c r="BA25" s="7">
        <f t="shared" si="155"/>
        <v>100</v>
      </c>
      <c r="BB25" s="8">
        <f t="shared" si="156"/>
        <v>0</v>
      </c>
      <c r="BC25" s="9">
        <f t="shared" si="40"/>
        <v>0</v>
      </c>
    </row>
    <row r="26" spans="1:55" s="6" customFormat="1" x14ac:dyDescent="0.2">
      <c r="A26" s="153" t="s">
        <v>24</v>
      </c>
      <c r="B26" s="47">
        <f t="shared" si="118"/>
        <v>0</v>
      </c>
      <c r="C26" s="6">
        <f t="shared" si="119"/>
        <v>0</v>
      </c>
      <c r="D26" s="6">
        <f t="shared" si="120"/>
        <v>0</v>
      </c>
      <c r="E26" s="48"/>
      <c r="F26" s="47">
        <f t="shared" si="121"/>
        <v>0</v>
      </c>
      <c r="G26" s="6">
        <f t="shared" si="122"/>
        <v>0</v>
      </c>
      <c r="H26" s="6">
        <f t="shared" si="123"/>
        <v>0</v>
      </c>
      <c r="I26" s="48"/>
      <c r="J26" s="47">
        <f t="shared" si="124"/>
        <v>0</v>
      </c>
      <c r="K26" s="6">
        <f t="shared" si="125"/>
        <v>0</v>
      </c>
      <c r="L26" s="6">
        <f t="shared" si="126"/>
        <v>0</v>
      </c>
      <c r="M26" s="48"/>
      <c r="N26" s="47">
        <f t="shared" si="127"/>
        <v>0</v>
      </c>
      <c r="O26" s="6">
        <f t="shared" si="128"/>
        <v>0</v>
      </c>
      <c r="P26" s="6">
        <f t="shared" si="129"/>
        <v>0</v>
      </c>
      <c r="Q26" s="48"/>
      <c r="R26" s="47">
        <f t="shared" si="130"/>
        <v>0</v>
      </c>
      <c r="S26" s="6">
        <f t="shared" si="131"/>
        <v>0</v>
      </c>
      <c r="T26" s="6">
        <f t="shared" si="132"/>
        <v>0</v>
      </c>
      <c r="U26" s="48"/>
      <c r="V26" s="47">
        <f t="shared" si="133"/>
        <v>0</v>
      </c>
      <c r="W26" s="6">
        <f t="shared" si="134"/>
        <v>0</v>
      </c>
      <c r="X26" s="6">
        <f t="shared" si="135"/>
        <v>0</v>
      </c>
      <c r="Y26" s="48"/>
      <c r="Z26" s="47">
        <f t="shared" si="136"/>
        <v>0</v>
      </c>
      <c r="AA26" s="6">
        <f t="shared" si="137"/>
        <v>0</v>
      </c>
      <c r="AB26" s="6">
        <f t="shared" si="138"/>
        <v>0</v>
      </c>
      <c r="AC26" s="48"/>
      <c r="AD26" s="47">
        <f t="shared" si="139"/>
        <v>0</v>
      </c>
      <c r="AE26" s="6">
        <f t="shared" si="140"/>
        <v>0</v>
      </c>
      <c r="AF26" s="6">
        <f t="shared" si="141"/>
        <v>0</v>
      </c>
      <c r="AG26" s="48"/>
      <c r="AH26" s="47">
        <f t="shared" si="142"/>
        <v>0</v>
      </c>
      <c r="AI26" s="6">
        <f t="shared" si="143"/>
        <v>0</v>
      </c>
      <c r="AJ26" s="6">
        <f t="shared" si="144"/>
        <v>0</v>
      </c>
      <c r="AK26" s="48"/>
      <c r="AL26" s="47">
        <f t="shared" si="145"/>
        <v>0</v>
      </c>
      <c r="AM26" s="6">
        <f t="shared" si="146"/>
        <v>0</v>
      </c>
      <c r="AN26" s="6">
        <f t="shared" si="147"/>
        <v>0</v>
      </c>
      <c r="AO26" s="48"/>
      <c r="AP26" s="47">
        <f t="shared" si="148"/>
        <v>0</v>
      </c>
      <c r="AQ26" s="6">
        <f t="shared" si="149"/>
        <v>0</v>
      </c>
      <c r="AR26" s="6">
        <f t="shared" si="150"/>
        <v>0</v>
      </c>
      <c r="AS26" s="48"/>
      <c r="AT26" s="47">
        <f t="shared" si="151"/>
        <v>0</v>
      </c>
      <c r="AU26" s="6">
        <f t="shared" si="152"/>
        <v>0</v>
      </c>
      <c r="AV26" s="6">
        <f t="shared" si="153"/>
        <v>0</v>
      </c>
      <c r="AW26" s="48"/>
      <c r="AX26" s="47">
        <f t="shared" si="154"/>
        <v>0</v>
      </c>
      <c r="AY26" s="6">
        <f t="shared" si="154"/>
        <v>0</v>
      </c>
      <c r="AZ26" s="48">
        <f t="shared" si="154"/>
        <v>0</v>
      </c>
      <c r="BA26" s="7">
        <f t="shared" si="155"/>
        <v>100</v>
      </c>
      <c r="BB26" s="8">
        <f t="shared" si="156"/>
        <v>0</v>
      </c>
      <c r="BC26" s="9">
        <f t="shared" si="40"/>
        <v>0</v>
      </c>
    </row>
    <row r="27" spans="1:55" s="145" customFormat="1" ht="25.5" customHeight="1" thickBot="1" x14ac:dyDescent="0.3">
      <c r="A27" s="114" t="s">
        <v>16</v>
      </c>
      <c r="B27" s="59">
        <f t="shared" ref="B27" si="196">SUM(B22:B26)</f>
        <v>1480.62</v>
      </c>
      <c r="C27" s="23">
        <f>SUM(C22:C26)</f>
        <v>1480.62</v>
      </c>
      <c r="D27" s="23">
        <f t="shared" ref="D27:AW27" si="197">SUM(D22:D26)</f>
        <v>0</v>
      </c>
      <c r="E27" s="60">
        <f t="shared" si="197"/>
        <v>1480.62</v>
      </c>
      <c r="F27" s="59">
        <f t="shared" si="197"/>
        <v>180</v>
      </c>
      <c r="G27" s="23">
        <f t="shared" si="197"/>
        <v>180</v>
      </c>
      <c r="H27" s="23">
        <f t="shared" si="197"/>
        <v>0</v>
      </c>
      <c r="I27" s="60">
        <f t="shared" si="197"/>
        <v>180</v>
      </c>
      <c r="J27" s="59">
        <f t="shared" si="197"/>
        <v>180</v>
      </c>
      <c r="K27" s="23">
        <f t="shared" si="197"/>
        <v>180</v>
      </c>
      <c r="L27" s="23">
        <f t="shared" si="197"/>
        <v>0</v>
      </c>
      <c r="M27" s="60">
        <f t="shared" si="197"/>
        <v>180</v>
      </c>
      <c r="N27" s="59">
        <f t="shared" si="197"/>
        <v>0</v>
      </c>
      <c r="O27" s="23">
        <f t="shared" si="197"/>
        <v>0</v>
      </c>
      <c r="P27" s="23">
        <f t="shared" si="197"/>
        <v>0</v>
      </c>
      <c r="Q27" s="60">
        <f t="shared" si="197"/>
        <v>0</v>
      </c>
      <c r="R27" s="59">
        <f t="shared" si="197"/>
        <v>0</v>
      </c>
      <c r="S27" s="23">
        <f t="shared" si="197"/>
        <v>0</v>
      </c>
      <c r="T27" s="23">
        <f t="shared" si="197"/>
        <v>0</v>
      </c>
      <c r="U27" s="60">
        <f t="shared" si="197"/>
        <v>0</v>
      </c>
      <c r="V27" s="59">
        <f t="shared" si="197"/>
        <v>0</v>
      </c>
      <c r="W27" s="23">
        <f t="shared" si="197"/>
        <v>0</v>
      </c>
      <c r="X27" s="23">
        <f t="shared" si="197"/>
        <v>0</v>
      </c>
      <c r="Y27" s="60">
        <f t="shared" si="197"/>
        <v>0</v>
      </c>
      <c r="Z27" s="59">
        <f t="shared" si="197"/>
        <v>0</v>
      </c>
      <c r="AA27" s="23">
        <f t="shared" si="197"/>
        <v>0</v>
      </c>
      <c r="AB27" s="23">
        <f t="shared" si="197"/>
        <v>0</v>
      </c>
      <c r="AC27" s="60">
        <f t="shared" si="197"/>
        <v>0</v>
      </c>
      <c r="AD27" s="59">
        <f t="shared" si="197"/>
        <v>0</v>
      </c>
      <c r="AE27" s="23">
        <f t="shared" si="197"/>
        <v>0</v>
      </c>
      <c r="AF27" s="23">
        <f t="shared" si="197"/>
        <v>0</v>
      </c>
      <c r="AG27" s="60">
        <f t="shared" si="197"/>
        <v>0</v>
      </c>
      <c r="AH27" s="59">
        <f t="shared" si="197"/>
        <v>0</v>
      </c>
      <c r="AI27" s="23">
        <f t="shared" si="197"/>
        <v>0</v>
      </c>
      <c r="AJ27" s="23">
        <f t="shared" si="197"/>
        <v>0</v>
      </c>
      <c r="AK27" s="60">
        <f t="shared" si="197"/>
        <v>0</v>
      </c>
      <c r="AL27" s="59">
        <f t="shared" si="197"/>
        <v>0</v>
      </c>
      <c r="AM27" s="23">
        <f t="shared" si="197"/>
        <v>0</v>
      </c>
      <c r="AN27" s="23">
        <f t="shared" si="197"/>
        <v>0</v>
      </c>
      <c r="AO27" s="60">
        <f t="shared" si="197"/>
        <v>0</v>
      </c>
      <c r="AP27" s="59">
        <f t="shared" si="197"/>
        <v>0</v>
      </c>
      <c r="AQ27" s="23">
        <f t="shared" si="197"/>
        <v>0</v>
      </c>
      <c r="AR27" s="23">
        <f t="shared" si="197"/>
        <v>0</v>
      </c>
      <c r="AS27" s="60">
        <f t="shared" si="197"/>
        <v>0</v>
      </c>
      <c r="AT27" s="59">
        <f t="shared" si="197"/>
        <v>0</v>
      </c>
      <c r="AU27" s="23">
        <f t="shared" si="197"/>
        <v>0</v>
      </c>
      <c r="AV27" s="23">
        <f t="shared" si="197"/>
        <v>0</v>
      </c>
      <c r="AW27" s="60">
        <f t="shared" si="197"/>
        <v>0</v>
      </c>
      <c r="AX27" s="59">
        <f t="shared" si="154"/>
        <v>1840.62</v>
      </c>
      <c r="AY27" s="23">
        <f t="shared" si="154"/>
        <v>1840.62</v>
      </c>
      <c r="AZ27" s="60">
        <f t="shared" si="154"/>
        <v>0</v>
      </c>
      <c r="BA27" s="23"/>
      <c r="BB27" s="23"/>
      <c r="BC27" s="23">
        <f>SUM(BC21:BC26)</f>
        <v>0</v>
      </c>
    </row>
    <row r="28" spans="1:55" s="141" customFormat="1" ht="22.9" customHeight="1" thickBot="1" x14ac:dyDescent="0.3">
      <c r="A28" s="93" t="s">
        <v>25</v>
      </c>
      <c r="B28" s="94">
        <f t="shared" ref="B28:AW28" si="198">B15+B20+B27</f>
        <v>21755.45</v>
      </c>
      <c r="C28" s="95">
        <f t="shared" si="198"/>
        <v>21462.07</v>
      </c>
      <c r="D28" s="95">
        <f t="shared" si="198"/>
        <v>293.38</v>
      </c>
      <c r="E28" s="96">
        <f t="shared" si="198"/>
        <v>21755.45</v>
      </c>
      <c r="F28" s="94">
        <f t="shared" si="198"/>
        <v>19730.98</v>
      </c>
      <c r="G28" s="95">
        <f t="shared" si="198"/>
        <v>19430.48</v>
      </c>
      <c r="H28" s="95">
        <f t="shared" si="198"/>
        <v>300.5</v>
      </c>
      <c r="I28" s="96">
        <f t="shared" si="198"/>
        <v>19730.98</v>
      </c>
      <c r="J28" s="94">
        <f t="shared" si="198"/>
        <v>4054.6400000000003</v>
      </c>
      <c r="K28" s="95">
        <f>K15+K20+K27</f>
        <v>3662.3999999999996</v>
      </c>
      <c r="L28" s="95">
        <f t="shared" si="198"/>
        <v>392.24</v>
      </c>
      <c r="M28" s="96">
        <f t="shared" si="198"/>
        <v>4054.6400000000003</v>
      </c>
      <c r="N28" s="94">
        <f t="shared" si="198"/>
        <v>0</v>
      </c>
      <c r="O28" s="95">
        <f t="shared" si="198"/>
        <v>0</v>
      </c>
      <c r="P28" s="95">
        <f t="shared" si="198"/>
        <v>0</v>
      </c>
      <c r="Q28" s="96">
        <f t="shared" si="198"/>
        <v>0</v>
      </c>
      <c r="R28" s="94">
        <f t="shared" si="198"/>
        <v>0</v>
      </c>
      <c r="S28" s="95">
        <f t="shared" si="198"/>
        <v>0</v>
      </c>
      <c r="T28" s="95">
        <f t="shared" si="198"/>
        <v>0</v>
      </c>
      <c r="U28" s="96">
        <f t="shared" si="198"/>
        <v>0</v>
      </c>
      <c r="V28" s="94">
        <f t="shared" si="198"/>
        <v>0</v>
      </c>
      <c r="W28" s="95">
        <f t="shared" si="198"/>
        <v>0</v>
      </c>
      <c r="X28" s="95">
        <f t="shared" si="198"/>
        <v>0</v>
      </c>
      <c r="Y28" s="96">
        <f t="shared" si="198"/>
        <v>0</v>
      </c>
      <c r="Z28" s="94">
        <f t="shared" si="198"/>
        <v>0</v>
      </c>
      <c r="AA28" s="95">
        <f t="shared" si="198"/>
        <v>0</v>
      </c>
      <c r="AB28" s="95">
        <f t="shared" si="198"/>
        <v>0</v>
      </c>
      <c r="AC28" s="96">
        <f t="shared" si="198"/>
        <v>0</v>
      </c>
      <c r="AD28" s="94">
        <f t="shared" si="198"/>
        <v>0</v>
      </c>
      <c r="AE28" s="95">
        <f t="shared" si="198"/>
        <v>0</v>
      </c>
      <c r="AF28" s="95">
        <f t="shared" si="198"/>
        <v>0</v>
      </c>
      <c r="AG28" s="96">
        <f t="shared" si="198"/>
        <v>0</v>
      </c>
      <c r="AH28" s="94">
        <f t="shared" si="198"/>
        <v>0</v>
      </c>
      <c r="AI28" s="95">
        <f t="shared" si="198"/>
        <v>0</v>
      </c>
      <c r="AJ28" s="95">
        <f t="shared" si="198"/>
        <v>0</v>
      </c>
      <c r="AK28" s="96">
        <f t="shared" si="198"/>
        <v>0</v>
      </c>
      <c r="AL28" s="94">
        <f t="shared" si="198"/>
        <v>0</v>
      </c>
      <c r="AM28" s="95">
        <f t="shared" si="198"/>
        <v>0</v>
      </c>
      <c r="AN28" s="95">
        <f t="shared" si="198"/>
        <v>0</v>
      </c>
      <c r="AO28" s="96">
        <f t="shared" si="198"/>
        <v>0</v>
      </c>
      <c r="AP28" s="94">
        <f t="shared" si="198"/>
        <v>0</v>
      </c>
      <c r="AQ28" s="95">
        <f t="shared" si="198"/>
        <v>0</v>
      </c>
      <c r="AR28" s="95">
        <f t="shared" si="198"/>
        <v>0</v>
      </c>
      <c r="AS28" s="96">
        <f t="shared" si="198"/>
        <v>0</v>
      </c>
      <c r="AT28" s="94">
        <f t="shared" si="198"/>
        <v>0</v>
      </c>
      <c r="AU28" s="95">
        <f t="shared" si="198"/>
        <v>0</v>
      </c>
      <c r="AV28" s="95">
        <f t="shared" si="198"/>
        <v>0</v>
      </c>
      <c r="AW28" s="96">
        <f t="shared" si="198"/>
        <v>0</v>
      </c>
      <c r="AX28" s="94">
        <f t="shared" si="154"/>
        <v>45541.07</v>
      </c>
      <c r="AY28" s="95">
        <f t="shared" si="154"/>
        <v>44554.950000000004</v>
      </c>
      <c r="AZ28" s="96">
        <f t="shared" si="154"/>
        <v>986.12</v>
      </c>
      <c r="BA28" s="11"/>
      <c r="BB28" s="12"/>
      <c r="BC28" s="13">
        <f>BC15+BC20+BC27</f>
        <v>0</v>
      </c>
    </row>
    <row r="29" spans="1:55" s="140" customFormat="1" x14ac:dyDescent="0.2">
      <c r="A29" s="115" t="s">
        <v>26</v>
      </c>
      <c r="B29" s="97"/>
      <c r="C29" s="98"/>
      <c r="D29" s="98"/>
      <c r="E29" s="98"/>
      <c r="F29" s="97"/>
      <c r="G29" s="98"/>
      <c r="H29" s="98"/>
      <c r="I29" s="98"/>
      <c r="J29" s="97"/>
      <c r="K29" s="98"/>
      <c r="L29" s="98"/>
      <c r="M29" s="99"/>
      <c r="N29" s="97"/>
      <c r="O29" s="98"/>
      <c r="P29" s="98"/>
      <c r="Q29" s="99"/>
      <c r="R29" s="97"/>
      <c r="S29" s="98"/>
      <c r="T29" s="98"/>
      <c r="U29" s="99"/>
      <c r="V29" s="97"/>
      <c r="W29" s="98"/>
      <c r="X29" s="98"/>
      <c r="Y29" s="99"/>
      <c r="Z29" s="97"/>
      <c r="AA29" s="98"/>
      <c r="AB29" s="98"/>
      <c r="AC29" s="99"/>
      <c r="AD29" s="97"/>
      <c r="AE29" s="98"/>
      <c r="AF29" s="98"/>
      <c r="AG29" s="99"/>
      <c r="AH29" s="97"/>
      <c r="AI29" s="98"/>
      <c r="AJ29" s="98"/>
      <c r="AK29" s="99"/>
      <c r="AL29" s="97"/>
      <c r="AM29" s="98"/>
      <c r="AN29" s="98"/>
      <c r="AO29" s="99"/>
      <c r="AP29" s="97"/>
      <c r="AQ29" s="98"/>
      <c r="AR29" s="98"/>
      <c r="AS29" s="99"/>
      <c r="AT29" s="97"/>
      <c r="AU29" s="98"/>
      <c r="AV29" s="98"/>
      <c r="AW29" s="99"/>
      <c r="AX29" s="97"/>
      <c r="AY29" s="98"/>
      <c r="AZ29" s="99"/>
      <c r="BA29" s="14"/>
      <c r="BB29" s="14"/>
      <c r="BC29" s="14"/>
    </row>
    <row r="30" spans="1:55" s="6" customFormat="1" x14ac:dyDescent="0.2">
      <c r="A30" s="103" t="s">
        <v>27</v>
      </c>
      <c r="B30" s="47">
        <f t="shared" ref="B30:B81" si="199">C30+D30</f>
        <v>0</v>
      </c>
      <c r="F30" s="47">
        <f t="shared" ref="F30:F81" si="200">G30+H30</f>
        <v>0</v>
      </c>
      <c r="J30" s="47">
        <f t="shared" ref="J30:J81" si="201">K30+L30</f>
        <v>0</v>
      </c>
      <c r="M30" s="48"/>
      <c r="N30" s="47">
        <f t="shared" ref="N30:N81" si="202">O30+P30</f>
        <v>0</v>
      </c>
      <c r="Q30" s="48"/>
      <c r="R30" s="47">
        <f t="shared" ref="R30:R81" si="203">S30+T30</f>
        <v>0</v>
      </c>
      <c r="U30" s="48"/>
      <c r="V30" s="47">
        <f t="shared" ref="V30:V81" si="204">W30+X30</f>
        <v>0</v>
      </c>
      <c r="Y30" s="48"/>
      <c r="Z30" s="47">
        <f t="shared" ref="Z30:Z81" si="205">AA30+AB30</f>
        <v>0</v>
      </c>
      <c r="AC30" s="48"/>
      <c r="AD30" s="47">
        <f t="shared" ref="AD30:AD81" si="206">AE30+AF30</f>
        <v>0</v>
      </c>
      <c r="AG30" s="48"/>
      <c r="AH30" s="47">
        <f t="shared" ref="AH30:AH81" si="207">AI30+AJ30</f>
        <v>0</v>
      </c>
      <c r="AK30" s="48"/>
      <c r="AL30" s="47">
        <f t="shared" ref="AL30:AL81" si="208">AM30+AN30</f>
        <v>0</v>
      </c>
      <c r="AO30" s="48"/>
      <c r="AP30" s="47">
        <f t="shared" ref="AP30:AP81" si="209">AQ30+AR30</f>
        <v>0</v>
      </c>
      <c r="AS30" s="48"/>
      <c r="AT30" s="47">
        <f t="shared" ref="AT30:AT81" si="210">AU30+AV30</f>
        <v>0</v>
      </c>
      <c r="AW30" s="48"/>
      <c r="AX30" s="47">
        <f t="shared" ref="AX30:AX62" si="211">B30+F30+J30+N30+R30+V30+Z30+AD30+AH30+AL30+AP30+AT30</f>
        <v>0</v>
      </c>
      <c r="AY30" s="6">
        <f t="shared" ref="AY30:AY62" si="212">C30+G30+K30+O30+S30+W30+AA30+AE30+AI30+AM30+AQ30+AU30</f>
        <v>0</v>
      </c>
      <c r="AZ30" s="48">
        <f t="shared" ref="AZ30:AZ62" si="213">D30+H30+L30+P30+T30+X30+AB30+AF30+AJ30+AN30+AR30+AV30</f>
        <v>0</v>
      </c>
      <c r="BA30" s="7"/>
      <c r="BB30" s="8"/>
      <c r="BC30" s="9"/>
    </row>
    <row r="31" spans="1:55" s="6" customFormat="1" x14ac:dyDescent="0.2">
      <c r="A31" s="104" t="s">
        <v>28</v>
      </c>
      <c r="B31" s="47">
        <f t="shared" si="199"/>
        <v>0</v>
      </c>
      <c r="F31" s="47">
        <f t="shared" si="200"/>
        <v>0</v>
      </c>
      <c r="J31" s="47">
        <f t="shared" si="201"/>
        <v>0</v>
      </c>
      <c r="M31" s="48"/>
      <c r="N31" s="47">
        <f t="shared" si="202"/>
        <v>0</v>
      </c>
      <c r="Q31" s="48"/>
      <c r="R31" s="47">
        <f t="shared" si="203"/>
        <v>0</v>
      </c>
      <c r="U31" s="48"/>
      <c r="V31" s="47">
        <f t="shared" si="204"/>
        <v>0</v>
      </c>
      <c r="Y31" s="48"/>
      <c r="Z31" s="47">
        <f t="shared" si="205"/>
        <v>0</v>
      </c>
      <c r="AC31" s="48"/>
      <c r="AD31" s="47">
        <f t="shared" si="206"/>
        <v>0</v>
      </c>
      <c r="AG31" s="48"/>
      <c r="AH31" s="47">
        <f t="shared" si="207"/>
        <v>0</v>
      </c>
      <c r="AK31" s="48"/>
      <c r="AL31" s="47">
        <f t="shared" si="208"/>
        <v>0</v>
      </c>
      <c r="AO31" s="48"/>
      <c r="AP31" s="47">
        <f t="shared" si="209"/>
        <v>0</v>
      </c>
      <c r="AS31" s="48"/>
      <c r="AT31" s="47">
        <f t="shared" si="210"/>
        <v>0</v>
      </c>
      <c r="AW31" s="48"/>
      <c r="AX31" s="47">
        <f t="shared" si="211"/>
        <v>0</v>
      </c>
      <c r="AY31" s="6">
        <f t="shared" si="212"/>
        <v>0</v>
      </c>
      <c r="AZ31" s="48">
        <f t="shared" si="213"/>
        <v>0</v>
      </c>
      <c r="BA31" s="7"/>
      <c r="BB31" s="8"/>
      <c r="BC31" s="9"/>
    </row>
    <row r="32" spans="1:55" s="6" customFormat="1" x14ac:dyDescent="0.2">
      <c r="A32" s="104" t="s">
        <v>29</v>
      </c>
      <c r="B32" s="47">
        <f t="shared" si="199"/>
        <v>0</v>
      </c>
      <c r="F32" s="47">
        <f t="shared" si="200"/>
        <v>0</v>
      </c>
      <c r="J32" s="47">
        <f t="shared" si="201"/>
        <v>0</v>
      </c>
      <c r="M32" s="48"/>
      <c r="N32" s="47">
        <f t="shared" si="202"/>
        <v>0</v>
      </c>
      <c r="Q32" s="48"/>
      <c r="R32" s="47">
        <f t="shared" si="203"/>
        <v>0</v>
      </c>
      <c r="U32" s="48"/>
      <c r="V32" s="47">
        <f t="shared" si="204"/>
        <v>0</v>
      </c>
      <c r="Y32" s="48"/>
      <c r="Z32" s="47">
        <f t="shared" si="205"/>
        <v>0</v>
      </c>
      <c r="AC32" s="48"/>
      <c r="AD32" s="47">
        <f t="shared" si="206"/>
        <v>0</v>
      </c>
      <c r="AG32" s="48"/>
      <c r="AH32" s="47">
        <f t="shared" si="207"/>
        <v>0</v>
      </c>
      <c r="AK32" s="48"/>
      <c r="AL32" s="47">
        <f t="shared" si="208"/>
        <v>0</v>
      </c>
      <c r="AO32" s="48"/>
      <c r="AP32" s="47">
        <f t="shared" si="209"/>
        <v>0</v>
      </c>
      <c r="AS32" s="48"/>
      <c r="AT32" s="47">
        <f t="shared" si="210"/>
        <v>0</v>
      </c>
      <c r="AW32" s="48"/>
      <c r="AX32" s="47">
        <f t="shared" si="211"/>
        <v>0</v>
      </c>
      <c r="AY32" s="6">
        <f t="shared" si="212"/>
        <v>0</v>
      </c>
      <c r="AZ32" s="48">
        <f t="shared" si="213"/>
        <v>0</v>
      </c>
      <c r="BA32" s="7"/>
      <c r="BB32" s="8"/>
      <c r="BC32" s="9"/>
    </row>
    <row r="33" spans="1:55" s="6" customFormat="1" x14ac:dyDescent="0.2">
      <c r="A33" s="104" t="s">
        <v>241</v>
      </c>
      <c r="B33" s="47">
        <f t="shared" ref="B33" si="214">C33+D33</f>
        <v>226.92000000000002</v>
      </c>
      <c r="C33" s="6">
        <f>127.39+99.53</f>
        <v>226.92000000000002</v>
      </c>
      <c r="F33" s="47">
        <f t="shared" ref="F33" si="215">G33+H33</f>
        <v>437.46</v>
      </c>
      <c r="G33" s="6">
        <f>379.53+57.93</f>
        <v>437.46</v>
      </c>
      <c r="J33" s="47">
        <f t="shared" ref="J33" si="216">K33+L33</f>
        <v>0</v>
      </c>
      <c r="M33" s="48"/>
      <c r="N33" s="47">
        <f t="shared" ref="N33" si="217">O33+P33</f>
        <v>0</v>
      </c>
      <c r="Q33" s="48"/>
      <c r="R33" s="47">
        <f t="shared" ref="R33" si="218">S33+T33</f>
        <v>0</v>
      </c>
      <c r="U33" s="48"/>
      <c r="V33" s="47">
        <f t="shared" ref="V33" si="219">W33+X33</f>
        <v>0</v>
      </c>
      <c r="Y33" s="48"/>
      <c r="Z33" s="47">
        <f t="shared" ref="Z33" si="220">AA33+AB33</f>
        <v>0</v>
      </c>
      <c r="AC33" s="48"/>
      <c r="AD33" s="47">
        <f t="shared" ref="AD33" si="221">AE33+AF33</f>
        <v>0</v>
      </c>
      <c r="AG33" s="48"/>
      <c r="AH33" s="47">
        <f t="shared" ref="AH33" si="222">AI33+AJ33</f>
        <v>0</v>
      </c>
      <c r="AK33" s="48"/>
      <c r="AL33" s="47">
        <f t="shared" ref="AL33" si="223">AM33+AN33</f>
        <v>0</v>
      </c>
      <c r="AO33" s="48"/>
      <c r="AP33" s="47">
        <f t="shared" ref="AP33" si="224">AQ33+AR33</f>
        <v>0</v>
      </c>
      <c r="AS33" s="48"/>
      <c r="AT33" s="47">
        <f t="shared" ref="AT33" si="225">AU33+AV33</f>
        <v>0</v>
      </c>
      <c r="AW33" s="48"/>
      <c r="AX33" s="47">
        <f t="shared" ref="AX33" si="226">B33+F33+J33+N33+R33+V33+Z33+AD33+AH33+AL33+AP33+AT33</f>
        <v>664.38</v>
      </c>
      <c r="AY33" s="6">
        <f t="shared" ref="AY33" si="227">C33+G33+K33+O33+S33+W33+AA33+AE33+AI33+AM33+AQ33+AU33</f>
        <v>664.38</v>
      </c>
      <c r="AZ33" s="48">
        <f t="shared" ref="AZ33" si="228">D33+H33+L33+P33+T33+X33+AB33+AF33+AJ33+AN33+AR33+AV33</f>
        <v>0</v>
      </c>
      <c r="BA33" s="7"/>
      <c r="BB33" s="8"/>
      <c r="BC33" s="9"/>
    </row>
    <row r="34" spans="1:55" s="6" customFormat="1" x14ac:dyDescent="0.2">
      <c r="A34" s="104" t="s">
        <v>30</v>
      </c>
      <c r="B34" s="47">
        <f t="shared" si="199"/>
        <v>0</v>
      </c>
      <c r="F34" s="47">
        <f t="shared" si="200"/>
        <v>0</v>
      </c>
      <c r="J34" s="47">
        <f t="shared" si="201"/>
        <v>0</v>
      </c>
      <c r="M34" s="48"/>
      <c r="N34" s="47">
        <f t="shared" si="202"/>
        <v>0</v>
      </c>
      <c r="Q34" s="48"/>
      <c r="R34" s="47">
        <f t="shared" si="203"/>
        <v>0</v>
      </c>
      <c r="U34" s="48"/>
      <c r="V34" s="47">
        <f t="shared" si="204"/>
        <v>0</v>
      </c>
      <c r="Y34" s="48"/>
      <c r="Z34" s="47">
        <f t="shared" si="205"/>
        <v>0</v>
      </c>
      <c r="AC34" s="48"/>
      <c r="AD34" s="47">
        <f t="shared" si="206"/>
        <v>0</v>
      </c>
      <c r="AG34" s="48"/>
      <c r="AH34" s="47">
        <f t="shared" si="207"/>
        <v>0</v>
      </c>
      <c r="AK34" s="48"/>
      <c r="AL34" s="47">
        <f t="shared" si="208"/>
        <v>0</v>
      </c>
      <c r="AO34" s="48"/>
      <c r="AP34" s="47">
        <f t="shared" si="209"/>
        <v>0</v>
      </c>
      <c r="AS34" s="48"/>
      <c r="AT34" s="47">
        <f t="shared" si="210"/>
        <v>0</v>
      </c>
      <c r="AW34" s="48"/>
      <c r="AX34" s="47">
        <f t="shared" si="211"/>
        <v>0</v>
      </c>
      <c r="AY34" s="6">
        <f t="shared" si="212"/>
        <v>0</v>
      </c>
      <c r="AZ34" s="48">
        <f t="shared" si="213"/>
        <v>0</v>
      </c>
      <c r="BA34" s="7"/>
      <c r="BB34" s="8"/>
      <c r="BC34" s="9"/>
    </row>
    <row r="35" spans="1:55" s="6" customFormat="1" x14ac:dyDescent="0.2">
      <c r="A35" s="104" t="s">
        <v>31</v>
      </c>
      <c r="B35" s="47">
        <f t="shared" si="199"/>
        <v>0</v>
      </c>
      <c r="F35" s="47">
        <f t="shared" si="200"/>
        <v>0</v>
      </c>
      <c r="J35" s="47">
        <f t="shared" si="201"/>
        <v>0</v>
      </c>
      <c r="M35" s="48"/>
      <c r="N35" s="47">
        <f t="shared" si="202"/>
        <v>0</v>
      </c>
      <c r="Q35" s="48"/>
      <c r="R35" s="47">
        <f t="shared" si="203"/>
        <v>0</v>
      </c>
      <c r="U35" s="48"/>
      <c r="V35" s="47">
        <f t="shared" si="204"/>
        <v>0</v>
      </c>
      <c r="Y35" s="48"/>
      <c r="Z35" s="47">
        <f t="shared" si="205"/>
        <v>0</v>
      </c>
      <c r="AC35" s="48"/>
      <c r="AD35" s="47">
        <f t="shared" si="206"/>
        <v>0</v>
      </c>
      <c r="AG35" s="48"/>
      <c r="AH35" s="47">
        <f t="shared" si="207"/>
        <v>0</v>
      </c>
      <c r="AK35" s="48"/>
      <c r="AL35" s="47">
        <f t="shared" si="208"/>
        <v>0</v>
      </c>
      <c r="AO35" s="48"/>
      <c r="AP35" s="47">
        <f t="shared" si="209"/>
        <v>0</v>
      </c>
      <c r="AS35" s="48"/>
      <c r="AT35" s="47">
        <f t="shared" si="210"/>
        <v>0</v>
      </c>
      <c r="AW35" s="48"/>
      <c r="AX35" s="47">
        <f t="shared" si="211"/>
        <v>0</v>
      </c>
      <c r="AY35" s="6">
        <f t="shared" si="212"/>
        <v>0</v>
      </c>
      <c r="AZ35" s="48">
        <f t="shared" si="213"/>
        <v>0</v>
      </c>
      <c r="BA35" s="7"/>
      <c r="BB35" s="8"/>
      <c r="BC35" s="9"/>
    </row>
    <row r="36" spans="1:55" s="6" customFormat="1" x14ac:dyDescent="0.2">
      <c r="A36" s="104" t="s">
        <v>32</v>
      </c>
      <c r="B36" s="47">
        <f t="shared" si="199"/>
        <v>0</v>
      </c>
      <c r="F36" s="47">
        <f t="shared" si="200"/>
        <v>0</v>
      </c>
      <c r="J36" s="47">
        <f t="shared" si="201"/>
        <v>0</v>
      </c>
      <c r="M36" s="48"/>
      <c r="N36" s="47">
        <f t="shared" si="202"/>
        <v>0</v>
      </c>
      <c r="Q36" s="48"/>
      <c r="R36" s="47">
        <f t="shared" si="203"/>
        <v>0</v>
      </c>
      <c r="U36" s="48"/>
      <c r="V36" s="47">
        <f t="shared" si="204"/>
        <v>0</v>
      </c>
      <c r="Y36" s="48"/>
      <c r="Z36" s="47">
        <f t="shared" si="205"/>
        <v>0</v>
      </c>
      <c r="AC36" s="48"/>
      <c r="AD36" s="47">
        <f t="shared" si="206"/>
        <v>0</v>
      </c>
      <c r="AG36" s="48"/>
      <c r="AH36" s="47">
        <f t="shared" si="207"/>
        <v>0</v>
      </c>
      <c r="AK36" s="48"/>
      <c r="AL36" s="47">
        <f t="shared" si="208"/>
        <v>0</v>
      </c>
      <c r="AO36" s="48"/>
      <c r="AP36" s="47">
        <f t="shared" si="209"/>
        <v>0</v>
      </c>
      <c r="AS36" s="48"/>
      <c r="AT36" s="47">
        <f t="shared" si="210"/>
        <v>0</v>
      </c>
      <c r="AW36" s="48"/>
      <c r="AX36" s="47">
        <f t="shared" si="211"/>
        <v>0</v>
      </c>
      <c r="AY36" s="6">
        <f t="shared" si="212"/>
        <v>0</v>
      </c>
      <c r="AZ36" s="48">
        <f t="shared" si="213"/>
        <v>0</v>
      </c>
      <c r="BA36" s="7"/>
      <c r="BB36" s="8"/>
      <c r="BC36" s="9"/>
    </row>
    <row r="37" spans="1:55" s="6" customFormat="1" x14ac:dyDescent="0.2">
      <c r="A37" s="104" t="s">
        <v>33</v>
      </c>
      <c r="B37" s="47">
        <f t="shared" si="199"/>
        <v>0</v>
      </c>
      <c r="F37" s="47">
        <f t="shared" si="200"/>
        <v>0</v>
      </c>
      <c r="J37" s="47">
        <f t="shared" si="201"/>
        <v>0</v>
      </c>
      <c r="M37" s="48"/>
      <c r="N37" s="47">
        <f t="shared" si="202"/>
        <v>0</v>
      </c>
      <c r="Q37" s="48"/>
      <c r="R37" s="47">
        <f t="shared" si="203"/>
        <v>0</v>
      </c>
      <c r="U37" s="48"/>
      <c r="V37" s="47">
        <f t="shared" si="204"/>
        <v>0</v>
      </c>
      <c r="Y37" s="48"/>
      <c r="Z37" s="47">
        <f t="shared" si="205"/>
        <v>0</v>
      </c>
      <c r="AC37" s="48"/>
      <c r="AD37" s="47">
        <f t="shared" si="206"/>
        <v>0</v>
      </c>
      <c r="AG37" s="48"/>
      <c r="AH37" s="47">
        <f t="shared" si="207"/>
        <v>0</v>
      </c>
      <c r="AK37" s="48"/>
      <c r="AL37" s="47">
        <f t="shared" si="208"/>
        <v>0</v>
      </c>
      <c r="AO37" s="48"/>
      <c r="AP37" s="47">
        <f t="shared" si="209"/>
        <v>0</v>
      </c>
      <c r="AS37" s="48"/>
      <c r="AT37" s="47">
        <f t="shared" si="210"/>
        <v>0</v>
      </c>
      <c r="AW37" s="48"/>
      <c r="AX37" s="47">
        <f t="shared" si="211"/>
        <v>0</v>
      </c>
      <c r="AY37" s="6">
        <f t="shared" si="212"/>
        <v>0</v>
      </c>
      <c r="AZ37" s="48">
        <f t="shared" si="213"/>
        <v>0</v>
      </c>
      <c r="BA37" s="7"/>
      <c r="BB37" s="8"/>
      <c r="BC37" s="9"/>
    </row>
    <row r="38" spans="1:55" s="6" customFormat="1" x14ac:dyDescent="0.2">
      <c r="A38" s="104" t="s">
        <v>34</v>
      </c>
      <c r="B38" s="47">
        <f t="shared" si="199"/>
        <v>0</v>
      </c>
      <c r="F38" s="47">
        <f t="shared" si="200"/>
        <v>0</v>
      </c>
      <c r="J38" s="47">
        <f t="shared" si="201"/>
        <v>0</v>
      </c>
      <c r="M38" s="48"/>
      <c r="N38" s="47">
        <f t="shared" si="202"/>
        <v>0</v>
      </c>
      <c r="Q38" s="48"/>
      <c r="R38" s="47">
        <f t="shared" si="203"/>
        <v>0</v>
      </c>
      <c r="U38" s="48"/>
      <c r="V38" s="47">
        <f t="shared" si="204"/>
        <v>0</v>
      </c>
      <c r="Y38" s="48"/>
      <c r="Z38" s="47">
        <f t="shared" si="205"/>
        <v>0</v>
      </c>
      <c r="AC38" s="48"/>
      <c r="AD38" s="47">
        <f t="shared" si="206"/>
        <v>0</v>
      </c>
      <c r="AG38" s="48"/>
      <c r="AH38" s="47">
        <f t="shared" si="207"/>
        <v>0</v>
      </c>
      <c r="AI38" s="6">
        <f>-26.45+26.45</f>
        <v>0</v>
      </c>
      <c r="AK38" s="48"/>
      <c r="AL38" s="47">
        <f t="shared" si="208"/>
        <v>0</v>
      </c>
      <c r="AO38" s="48"/>
      <c r="AP38" s="47">
        <f t="shared" si="209"/>
        <v>0</v>
      </c>
      <c r="AS38" s="48"/>
      <c r="AT38" s="47">
        <f t="shared" si="210"/>
        <v>0</v>
      </c>
      <c r="AW38" s="48"/>
      <c r="AX38" s="47">
        <f t="shared" si="211"/>
        <v>0</v>
      </c>
      <c r="AY38" s="6">
        <f t="shared" si="212"/>
        <v>0</v>
      </c>
      <c r="AZ38" s="48">
        <f t="shared" si="213"/>
        <v>0</v>
      </c>
      <c r="BA38" s="7"/>
      <c r="BB38" s="8"/>
      <c r="BC38" s="9"/>
    </row>
    <row r="39" spans="1:55" s="6" customFormat="1" x14ac:dyDescent="0.2">
      <c r="A39" s="104" t="s">
        <v>35</v>
      </c>
      <c r="B39" s="47">
        <f t="shared" si="199"/>
        <v>0</v>
      </c>
      <c r="F39" s="47">
        <f t="shared" si="200"/>
        <v>0</v>
      </c>
      <c r="J39" s="47">
        <f t="shared" si="201"/>
        <v>0</v>
      </c>
      <c r="M39" s="48"/>
      <c r="N39" s="47">
        <f t="shared" si="202"/>
        <v>0</v>
      </c>
      <c r="Q39" s="48"/>
      <c r="R39" s="47">
        <f t="shared" si="203"/>
        <v>0</v>
      </c>
      <c r="U39" s="48"/>
      <c r="V39" s="47">
        <f t="shared" si="204"/>
        <v>0</v>
      </c>
      <c r="Y39" s="48"/>
      <c r="Z39" s="47">
        <f t="shared" si="205"/>
        <v>0</v>
      </c>
      <c r="AC39" s="48"/>
      <c r="AD39" s="47">
        <f t="shared" si="206"/>
        <v>0</v>
      </c>
      <c r="AG39" s="48"/>
      <c r="AH39" s="47">
        <f t="shared" si="207"/>
        <v>0</v>
      </c>
      <c r="AK39" s="48"/>
      <c r="AL39" s="47">
        <f t="shared" si="208"/>
        <v>0</v>
      </c>
      <c r="AO39" s="48"/>
      <c r="AP39" s="47">
        <f t="shared" si="209"/>
        <v>0</v>
      </c>
      <c r="AS39" s="48"/>
      <c r="AT39" s="47">
        <f t="shared" si="210"/>
        <v>0</v>
      </c>
      <c r="AW39" s="48"/>
      <c r="AX39" s="47">
        <f t="shared" si="211"/>
        <v>0</v>
      </c>
      <c r="AY39" s="6">
        <f t="shared" si="212"/>
        <v>0</v>
      </c>
      <c r="AZ39" s="48">
        <f t="shared" si="213"/>
        <v>0</v>
      </c>
      <c r="BA39" s="7"/>
      <c r="BB39" s="8"/>
      <c r="BC39" s="9"/>
    </row>
    <row r="40" spans="1:55" s="6" customFormat="1" x14ac:dyDescent="0.2">
      <c r="A40" s="104" t="s">
        <v>36</v>
      </c>
      <c r="B40" s="47">
        <f t="shared" si="199"/>
        <v>0</v>
      </c>
      <c r="F40" s="47">
        <f t="shared" si="200"/>
        <v>0</v>
      </c>
      <c r="J40" s="47">
        <f t="shared" si="201"/>
        <v>0</v>
      </c>
      <c r="M40" s="48"/>
      <c r="N40" s="47">
        <f t="shared" si="202"/>
        <v>0</v>
      </c>
      <c r="Q40" s="48"/>
      <c r="R40" s="47">
        <f t="shared" si="203"/>
        <v>0</v>
      </c>
      <c r="U40" s="48"/>
      <c r="V40" s="47">
        <f t="shared" si="204"/>
        <v>0</v>
      </c>
      <c r="Y40" s="48"/>
      <c r="Z40" s="47">
        <f t="shared" si="205"/>
        <v>0</v>
      </c>
      <c r="AC40" s="48"/>
      <c r="AD40" s="47">
        <f t="shared" si="206"/>
        <v>0</v>
      </c>
      <c r="AG40" s="48"/>
      <c r="AH40" s="47">
        <f t="shared" si="207"/>
        <v>0</v>
      </c>
      <c r="AK40" s="48"/>
      <c r="AL40" s="47">
        <f t="shared" si="208"/>
        <v>0</v>
      </c>
      <c r="AO40" s="48"/>
      <c r="AP40" s="47">
        <f t="shared" si="209"/>
        <v>0</v>
      </c>
      <c r="AS40" s="48"/>
      <c r="AT40" s="47">
        <f t="shared" si="210"/>
        <v>0</v>
      </c>
      <c r="AW40" s="48"/>
      <c r="AX40" s="47">
        <f t="shared" si="211"/>
        <v>0</v>
      </c>
      <c r="AY40" s="6">
        <f t="shared" si="212"/>
        <v>0</v>
      </c>
      <c r="AZ40" s="48">
        <f t="shared" si="213"/>
        <v>0</v>
      </c>
      <c r="BA40" s="7"/>
      <c r="BB40" s="8"/>
      <c r="BC40" s="9"/>
    </row>
    <row r="41" spans="1:55" s="6" customFormat="1" x14ac:dyDescent="0.2">
      <c r="A41" s="104" t="s">
        <v>37</v>
      </c>
      <c r="B41" s="47">
        <f t="shared" si="199"/>
        <v>0</v>
      </c>
      <c r="F41" s="47">
        <f t="shared" si="200"/>
        <v>197.76</v>
      </c>
      <c r="G41" s="6">
        <f t="shared" ref="G41" si="229">I41*$BA41/100</f>
        <v>197.76</v>
      </c>
      <c r="H41" s="6">
        <f t="shared" ref="H41" si="230">I41*$BB41/100</f>
        <v>0</v>
      </c>
      <c r="I41" s="6">
        <f>99.5+98.26</f>
        <v>197.76</v>
      </c>
      <c r="J41" s="47">
        <f t="shared" si="201"/>
        <v>0</v>
      </c>
      <c r="K41" s="6">
        <f t="shared" ref="K41" si="231">M41*$BA41/100</f>
        <v>0</v>
      </c>
      <c r="L41" s="6">
        <f t="shared" ref="L41" si="232">M41*$BB41/100</f>
        <v>0</v>
      </c>
      <c r="M41" s="48"/>
      <c r="N41" s="47">
        <f t="shared" si="202"/>
        <v>0</v>
      </c>
      <c r="O41" s="6">
        <f t="shared" ref="O41" si="233">Q41*$BA41/100</f>
        <v>0</v>
      </c>
      <c r="P41" s="6">
        <f t="shared" ref="P41" si="234">Q41*$BB41/100</f>
        <v>0</v>
      </c>
      <c r="Q41" s="48"/>
      <c r="R41" s="47">
        <f t="shared" si="203"/>
        <v>0</v>
      </c>
      <c r="S41" s="6">
        <f t="shared" ref="S41" si="235">U41*$BA41/100</f>
        <v>0</v>
      </c>
      <c r="T41" s="6">
        <f t="shared" ref="T41" si="236">U41*$BB41/100</f>
        <v>0</v>
      </c>
      <c r="U41" s="48"/>
      <c r="V41" s="47">
        <f t="shared" si="204"/>
        <v>0</v>
      </c>
      <c r="W41" s="6">
        <f t="shared" ref="W41" si="237">Y41*$BA41/100</f>
        <v>0</v>
      </c>
      <c r="X41" s="6">
        <f t="shared" ref="X41" si="238">Y41*$BB41/100</f>
        <v>0</v>
      </c>
      <c r="Y41" s="48"/>
      <c r="Z41" s="47">
        <f t="shared" si="205"/>
        <v>0</v>
      </c>
      <c r="AA41" s="6">
        <f t="shared" ref="AA41" si="239">AC41*$BA41/100</f>
        <v>0</v>
      </c>
      <c r="AB41" s="6">
        <f t="shared" ref="AB41" si="240">AC41*$BB41/100</f>
        <v>0</v>
      </c>
      <c r="AC41" s="48"/>
      <c r="AD41" s="47">
        <f t="shared" si="206"/>
        <v>0</v>
      </c>
      <c r="AE41" s="6">
        <f t="shared" ref="AE41" si="241">AG41*$BA41/100</f>
        <v>0</v>
      </c>
      <c r="AF41" s="6">
        <f t="shared" ref="AF41" si="242">AG41*$BB41/100</f>
        <v>0</v>
      </c>
      <c r="AG41" s="48"/>
      <c r="AH41" s="47">
        <f t="shared" si="207"/>
        <v>0</v>
      </c>
      <c r="AI41" s="6">
        <f t="shared" ref="AI41" si="243">AK41*$BA41/100</f>
        <v>0</v>
      </c>
      <c r="AJ41" s="6">
        <f t="shared" ref="AJ41" si="244">AK41*$BB41/100</f>
        <v>0</v>
      </c>
      <c r="AK41" s="48"/>
      <c r="AL41" s="47">
        <f t="shared" si="208"/>
        <v>0</v>
      </c>
      <c r="AM41" s="6">
        <f t="shared" ref="AM41" si="245">AO41*$BA41/100</f>
        <v>0</v>
      </c>
      <c r="AN41" s="6">
        <f t="shared" ref="AN41" si="246">AO41*$BB41/100</f>
        <v>0</v>
      </c>
      <c r="AO41" s="48"/>
      <c r="AP41" s="47">
        <f t="shared" si="209"/>
        <v>0</v>
      </c>
      <c r="AQ41" s="6">
        <f t="shared" ref="AQ41" si="247">AS41*$BA41/100</f>
        <v>0</v>
      </c>
      <c r="AR41" s="6">
        <f t="shared" ref="AR41" si="248">AS41*$BB41/100</f>
        <v>0</v>
      </c>
      <c r="AS41" s="48"/>
      <c r="AT41" s="47">
        <f t="shared" si="210"/>
        <v>0</v>
      </c>
      <c r="AU41" s="6">
        <f t="shared" ref="AU41" si="249">AW41*$BA41/100</f>
        <v>0</v>
      </c>
      <c r="AV41" s="6">
        <f t="shared" ref="AV41" si="250">AW41*$BB41/100</f>
        <v>0</v>
      </c>
      <c r="AW41" s="48"/>
      <c r="AX41" s="47">
        <f t="shared" si="211"/>
        <v>197.76</v>
      </c>
      <c r="AY41" s="6">
        <f t="shared" si="212"/>
        <v>197.76</v>
      </c>
      <c r="AZ41" s="48">
        <f t="shared" si="213"/>
        <v>0</v>
      </c>
      <c r="BA41" s="7">
        <f>BC$1</f>
        <v>100</v>
      </c>
      <c r="BB41" s="8">
        <f t="shared" ref="BB41" si="251">100-BA41</f>
        <v>0</v>
      </c>
      <c r="BC41" s="9">
        <f t="shared" ref="BC41" si="252">AX41*(BB41/100)</f>
        <v>0</v>
      </c>
    </row>
    <row r="42" spans="1:55" s="6" customFormat="1" x14ac:dyDescent="0.2">
      <c r="A42" s="104" t="s">
        <v>38</v>
      </c>
      <c r="B42" s="47">
        <f t="shared" si="199"/>
        <v>0</v>
      </c>
      <c r="F42" s="47">
        <f t="shared" si="200"/>
        <v>0</v>
      </c>
      <c r="J42" s="47">
        <f t="shared" si="201"/>
        <v>0</v>
      </c>
      <c r="M42" s="48"/>
      <c r="N42" s="47">
        <f t="shared" si="202"/>
        <v>0</v>
      </c>
      <c r="Q42" s="48"/>
      <c r="R42" s="47">
        <f t="shared" si="203"/>
        <v>0</v>
      </c>
      <c r="U42" s="48"/>
      <c r="V42" s="47">
        <f t="shared" si="204"/>
        <v>0</v>
      </c>
      <c r="Y42" s="48"/>
      <c r="Z42" s="47">
        <f t="shared" si="205"/>
        <v>0</v>
      </c>
      <c r="AC42" s="48"/>
      <c r="AD42" s="47">
        <f t="shared" si="206"/>
        <v>0</v>
      </c>
      <c r="AG42" s="48"/>
      <c r="AH42" s="47">
        <f t="shared" si="207"/>
        <v>0</v>
      </c>
      <c r="AK42" s="48"/>
      <c r="AL42" s="47">
        <f t="shared" si="208"/>
        <v>0</v>
      </c>
      <c r="AO42" s="48"/>
      <c r="AP42" s="47">
        <f t="shared" si="209"/>
        <v>0</v>
      </c>
      <c r="AS42" s="48"/>
      <c r="AT42" s="47">
        <f t="shared" si="210"/>
        <v>0</v>
      </c>
      <c r="AW42" s="48"/>
      <c r="AX42" s="47">
        <f t="shared" si="211"/>
        <v>0</v>
      </c>
      <c r="AY42" s="6">
        <f t="shared" si="212"/>
        <v>0</v>
      </c>
      <c r="AZ42" s="48">
        <f t="shared" si="213"/>
        <v>0</v>
      </c>
      <c r="BA42" s="10"/>
      <c r="BB42" s="10"/>
      <c r="BC42" s="9"/>
    </row>
    <row r="43" spans="1:55" s="6" customFormat="1" x14ac:dyDescent="0.2">
      <c r="A43" s="104" t="s">
        <v>39</v>
      </c>
      <c r="B43" s="47">
        <f t="shared" si="199"/>
        <v>0</v>
      </c>
      <c r="F43" s="47">
        <f t="shared" si="200"/>
        <v>0</v>
      </c>
      <c r="J43" s="47">
        <f t="shared" si="201"/>
        <v>0</v>
      </c>
      <c r="M43" s="48"/>
      <c r="N43" s="47">
        <f t="shared" si="202"/>
        <v>0</v>
      </c>
      <c r="Q43" s="48"/>
      <c r="R43" s="47">
        <f>S43+T43</f>
        <v>0</v>
      </c>
      <c r="U43" s="48"/>
      <c r="V43" s="47">
        <f t="shared" si="204"/>
        <v>0</v>
      </c>
      <c r="Y43" s="48"/>
      <c r="Z43" s="47">
        <f t="shared" si="205"/>
        <v>0</v>
      </c>
      <c r="AC43" s="48"/>
      <c r="AD43" s="47">
        <f t="shared" si="206"/>
        <v>0</v>
      </c>
      <c r="AG43" s="48"/>
      <c r="AH43" s="47">
        <f t="shared" si="207"/>
        <v>0</v>
      </c>
      <c r="AK43" s="48"/>
      <c r="AL43" s="47">
        <f t="shared" si="208"/>
        <v>0</v>
      </c>
      <c r="AO43" s="48"/>
      <c r="AP43" s="47">
        <f t="shared" si="209"/>
        <v>0</v>
      </c>
      <c r="AS43" s="48"/>
      <c r="AT43" s="47">
        <f t="shared" si="210"/>
        <v>0</v>
      </c>
      <c r="AW43" s="48"/>
      <c r="AX43" s="47">
        <f t="shared" si="211"/>
        <v>0</v>
      </c>
      <c r="AY43" s="6">
        <f>C43+G43+K43+O43+S43+W43+AA43+AE43+AI43+AM43+AQ43+AU43</f>
        <v>0</v>
      </c>
      <c r="AZ43" s="48">
        <f t="shared" si="213"/>
        <v>0</v>
      </c>
      <c r="BA43" s="7"/>
      <c r="BB43" s="8"/>
      <c r="BC43" s="9"/>
    </row>
    <row r="44" spans="1:55" s="6" customFormat="1" x14ac:dyDescent="0.2">
      <c r="A44" s="104" t="s">
        <v>40</v>
      </c>
      <c r="B44" s="47">
        <f t="shared" si="199"/>
        <v>140</v>
      </c>
      <c r="D44" s="6">
        <v>140</v>
      </c>
      <c r="F44" s="47">
        <f t="shared" si="200"/>
        <v>45</v>
      </c>
      <c r="H44" s="6">
        <f>15+30</f>
        <v>45</v>
      </c>
      <c r="J44" s="47">
        <f t="shared" si="201"/>
        <v>0</v>
      </c>
      <c r="M44" s="48"/>
      <c r="N44" s="47">
        <f t="shared" si="202"/>
        <v>0</v>
      </c>
      <c r="Q44" s="48"/>
      <c r="R44" s="47">
        <f t="shared" si="203"/>
        <v>0</v>
      </c>
      <c r="U44" s="48"/>
      <c r="V44" s="47">
        <f t="shared" si="204"/>
        <v>0</v>
      </c>
      <c r="Y44" s="48"/>
      <c r="Z44" s="47">
        <f t="shared" si="205"/>
        <v>0</v>
      </c>
      <c r="AC44" s="48"/>
      <c r="AD44" s="47">
        <f t="shared" si="206"/>
        <v>0</v>
      </c>
      <c r="AG44" s="48"/>
      <c r="AH44" s="47">
        <f t="shared" si="207"/>
        <v>0</v>
      </c>
      <c r="AK44" s="48"/>
      <c r="AL44" s="47">
        <f t="shared" si="208"/>
        <v>0</v>
      </c>
      <c r="AO44" s="48"/>
      <c r="AP44" s="47">
        <f t="shared" si="209"/>
        <v>0</v>
      </c>
      <c r="AS44" s="48"/>
      <c r="AT44" s="47">
        <f t="shared" si="210"/>
        <v>0</v>
      </c>
      <c r="AW44" s="48"/>
      <c r="AX44" s="47">
        <f t="shared" si="211"/>
        <v>185</v>
      </c>
      <c r="AY44" s="6">
        <f t="shared" si="212"/>
        <v>0</v>
      </c>
      <c r="AZ44" s="48">
        <f t="shared" si="213"/>
        <v>185</v>
      </c>
      <c r="BA44" s="7"/>
      <c r="BB44" s="8"/>
      <c r="BC44" s="9"/>
    </row>
    <row r="45" spans="1:55" s="6" customFormat="1" x14ac:dyDescent="0.2">
      <c r="A45" s="104" t="s">
        <v>41</v>
      </c>
      <c r="B45" s="47">
        <f t="shared" si="199"/>
        <v>0</v>
      </c>
      <c r="F45" s="47">
        <f t="shared" si="200"/>
        <v>0</v>
      </c>
      <c r="J45" s="47">
        <f t="shared" si="201"/>
        <v>0</v>
      </c>
      <c r="M45" s="48"/>
      <c r="N45" s="47">
        <f t="shared" si="202"/>
        <v>0</v>
      </c>
      <c r="Q45" s="48"/>
      <c r="R45" s="47">
        <f t="shared" si="203"/>
        <v>0</v>
      </c>
      <c r="U45" s="48"/>
      <c r="V45" s="47">
        <f t="shared" si="204"/>
        <v>0</v>
      </c>
      <c r="Y45" s="48"/>
      <c r="Z45" s="47">
        <f t="shared" si="205"/>
        <v>0</v>
      </c>
      <c r="AC45" s="48"/>
      <c r="AD45" s="47">
        <f t="shared" si="206"/>
        <v>0</v>
      </c>
      <c r="AG45" s="48"/>
      <c r="AH45" s="47">
        <f t="shared" si="207"/>
        <v>0</v>
      </c>
      <c r="AK45" s="48"/>
      <c r="AL45" s="47">
        <f t="shared" si="208"/>
        <v>0</v>
      </c>
      <c r="AO45" s="48"/>
      <c r="AP45" s="47">
        <f t="shared" si="209"/>
        <v>0</v>
      </c>
      <c r="AS45" s="48"/>
      <c r="AT45" s="47">
        <f t="shared" si="210"/>
        <v>0</v>
      </c>
      <c r="AW45" s="48"/>
      <c r="AX45" s="47">
        <f t="shared" si="211"/>
        <v>0</v>
      </c>
      <c r="AY45" s="6">
        <f t="shared" si="212"/>
        <v>0</v>
      </c>
      <c r="AZ45" s="48">
        <f t="shared" si="213"/>
        <v>0</v>
      </c>
      <c r="BA45" s="7"/>
      <c r="BB45" s="8"/>
      <c r="BC45" s="9"/>
    </row>
    <row r="46" spans="1:55" s="6" customFormat="1" x14ac:dyDescent="0.2">
      <c r="A46" s="104" t="s">
        <v>42</v>
      </c>
      <c r="B46" s="47">
        <f t="shared" si="199"/>
        <v>0</v>
      </c>
      <c r="F46" s="47">
        <f t="shared" si="200"/>
        <v>0</v>
      </c>
      <c r="J46" s="47">
        <f t="shared" si="201"/>
        <v>0</v>
      </c>
      <c r="M46" s="48"/>
      <c r="N46" s="47">
        <f t="shared" si="202"/>
        <v>0</v>
      </c>
      <c r="Q46" s="48"/>
      <c r="R46" s="47">
        <f t="shared" si="203"/>
        <v>0</v>
      </c>
      <c r="U46" s="48"/>
      <c r="V46" s="47">
        <f t="shared" si="204"/>
        <v>0</v>
      </c>
      <c r="Y46" s="48"/>
      <c r="Z46" s="47">
        <f t="shared" si="205"/>
        <v>0</v>
      </c>
      <c r="AC46" s="48"/>
      <c r="AD46" s="47">
        <f t="shared" si="206"/>
        <v>0</v>
      </c>
      <c r="AG46" s="48"/>
      <c r="AH46" s="47">
        <f t="shared" si="207"/>
        <v>0</v>
      </c>
      <c r="AK46" s="48"/>
      <c r="AL46" s="47">
        <f t="shared" si="208"/>
        <v>0</v>
      </c>
      <c r="AO46" s="48"/>
      <c r="AP46" s="47">
        <f t="shared" si="209"/>
        <v>0</v>
      </c>
      <c r="AS46" s="48"/>
      <c r="AT46" s="47">
        <f t="shared" si="210"/>
        <v>0</v>
      </c>
      <c r="AW46" s="48"/>
      <c r="AX46" s="47">
        <f t="shared" si="211"/>
        <v>0</v>
      </c>
      <c r="AY46" s="6">
        <f t="shared" si="212"/>
        <v>0</v>
      </c>
      <c r="AZ46" s="48">
        <f t="shared" si="213"/>
        <v>0</v>
      </c>
      <c r="BA46" s="7"/>
      <c r="BB46" s="8"/>
      <c r="BC46" s="9"/>
    </row>
    <row r="47" spans="1:55" s="6" customFormat="1" x14ac:dyDescent="0.2">
      <c r="A47" s="104" t="s">
        <v>43</v>
      </c>
      <c r="B47" s="47">
        <f t="shared" si="199"/>
        <v>0</v>
      </c>
      <c r="F47" s="47">
        <f t="shared" si="200"/>
        <v>0</v>
      </c>
      <c r="J47" s="47">
        <f t="shared" si="201"/>
        <v>0</v>
      </c>
      <c r="M47" s="48"/>
      <c r="N47" s="47">
        <f t="shared" si="202"/>
        <v>0</v>
      </c>
      <c r="Q47" s="48"/>
      <c r="R47" s="47">
        <f t="shared" si="203"/>
        <v>0</v>
      </c>
      <c r="U47" s="48"/>
      <c r="V47" s="47">
        <f t="shared" si="204"/>
        <v>0</v>
      </c>
      <c r="Y47" s="48"/>
      <c r="Z47" s="47">
        <f t="shared" si="205"/>
        <v>0</v>
      </c>
      <c r="AC47" s="48"/>
      <c r="AD47" s="47">
        <f t="shared" si="206"/>
        <v>0</v>
      </c>
      <c r="AG47" s="48"/>
      <c r="AH47" s="47">
        <f t="shared" si="207"/>
        <v>0</v>
      </c>
      <c r="AK47" s="48"/>
      <c r="AL47" s="47">
        <f t="shared" si="208"/>
        <v>0</v>
      </c>
      <c r="AO47" s="48"/>
      <c r="AP47" s="47">
        <f t="shared" si="209"/>
        <v>0</v>
      </c>
      <c r="AS47" s="48"/>
      <c r="AT47" s="47">
        <f t="shared" si="210"/>
        <v>0</v>
      </c>
      <c r="AW47" s="48"/>
      <c r="AX47" s="47">
        <f t="shared" si="211"/>
        <v>0</v>
      </c>
      <c r="AY47" s="6">
        <f t="shared" si="212"/>
        <v>0</v>
      </c>
      <c r="AZ47" s="48">
        <f t="shared" si="213"/>
        <v>0</v>
      </c>
      <c r="BA47" s="7"/>
      <c r="BB47" s="8"/>
      <c r="BC47" s="9"/>
    </row>
    <row r="48" spans="1:55" s="6" customFormat="1" x14ac:dyDescent="0.2">
      <c r="A48" s="104" t="s">
        <v>44</v>
      </c>
      <c r="B48" s="47">
        <f t="shared" si="199"/>
        <v>0</v>
      </c>
      <c r="F48" s="47">
        <f t="shared" si="200"/>
        <v>0</v>
      </c>
      <c r="J48" s="47">
        <f t="shared" si="201"/>
        <v>260</v>
      </c>
      <c r="K48" s="6">
        <v>260</v>
      </c>
      <c r="M48" s="48"/>
      <c r="N48" s="47">
        <f t="shared" si="202"/>
        <v>0</v>
      </c>
      <c r="Q48" s="48"/>
      <c r="R48" s="47">
        <f t="shared" si="203"/>
        <v>0</v>
      </c>
      <c r="U48" s="48"/>
      <c r="V48" s="47">
        <f t="shared" si="204"/>
        <v>0</v>
      </c>
      <c r="Y48" s="48"/>
      <c r="Z48" s="47">
        <f t="shared" si="205"/>
        <v>0</v>
      </c>
      <c r="AC48" s="48"/>
      <c r="AD48" s="47">
        <f t="shared" si="206"/>
        <v>0</v>
      </c>
      <c r="AG48" s="48"/>
      <c r="AH48" s="47">
        <f t="shared" si="207"/>
        <v>0</v>
      </c>
      <c r="AK48" s="48"/>
      <c r="AL48" s="47">
        <f t="shared" si="208"/>
        <v>0</v>
      </c>
      <c r="AO48" s="48"/>
      <c r="AP48" s="47">
        <f t="shared" si="209"/>
        <v>0</v>
      </c>
      <c r="AS48" s="48"/>
      <c r="AT48" s="47">
        <f t="shared" si="210"/>
        <v>0</v>
      </c>
      <c r="AW48" s="48"/>
      <c r="AX48" s="47">
        <f t="shared" si="211"/>
        <v>260</v>
      </c>
      <c r="AY48" s="6">
        <f t="shared" si="212"/>
        <v>260</v>
      </c>
      <c r="AZ48" s="48">
        <f t="shared" si="213"/>
        <v>0</v>
      </c>
      <c r="BA48" s="7"/>
      <c r="BB48" s="8"/>
      <c r="BC48" s="9"/>
    </row>
    <row r="49" spans="1:55" s="6" customFormat="1" x14ac:dyDescent="0.2">
      <c r="A49" s="104" t="s">
        <v>45</v>
      </c>
      <c r="B49" s="47">
        <f t="shared" si="199"/>
        <v>0</v>
      </c>
      <c r="F49" s="47">
        <f t="shared" si="200"/>
        <v>0</v>
      </c>
      <c r="J49" s="47">
        <f t="shared" si="201"/>
        <v>0</v>
      </c>
      <c r="M49" s="48"/>
      <c r="N49" s="47">
        <f t="shared" si="202"/>
        <v>0</v>
      </c>
      <c r="Q49" s="48"/>
      <c r="R49" s="47">
        <f t="shared" si="203"/>
        <v>0</v>
      </c>
      <c r="U49" s="48"/>
      <c r="V49" s="47">
        <f t="shared" si="204"/>
        <v>0</v>
      </c>
      <c r="Y49" s="48"/>
      <c r="Z49" s="47">
        <f t="shared" si="205"/>
        <v>0</v>
      </c>
      <c r="AC49" s="48"/>
      <c r="AD49" s="47">
        <f t="shared" si="206"/>
        <v>0</v>
      </c>
      <c r="AG49" s="48"/>
      <c r="AH49" s="47">
        <f t="shared" si="207"/>
        <v>0</v>
      </c>
      <c r="AK49" s="48"/>
      <c r="AL49" s="47">
        <f t="shared" si="208"/>
        <v>0</v>
      </c>
      <c r="AO49" s="48"/>
      <c r="AP49" s="47">
        <f t="shared" si="209"/>
        <v>0</v>
      </c>
      <c r="AS49" s="48"/>
      <c r="AT49" s="47">
        <f t="shared" si="210"/>
        <v>0</v>
      </c>
      <c r="AW49" s="48"/>
      <c r="AX49" s="47">
        <f t="shared" si="211"/>
        <v>0</v>
      </c>
      <c r="AY49" s="6">
        <f t="shared" si="212"/>
        <v>0</v>
      </c>
      <c r="AZ49" s="48">
        <f t="shared" si="213"/>
        <v>0</v>
      </c>
      <c r="BA49" s="7"/>
      <c r="BB49" s="8"/>
      <c r="BC49" s="9"/>
    </row>
    <row r="50" spans="1:55" s="6" customFormat="1" x14ac:dyDescent="0.2">
      <c r="A50" s="104" t="s">
        <v>46</v>
      </c>
      <c r="B50" s="47">
        <f t="shared" si="199"/>
        <v>0</v>
      </c>
      <c r="F50" s="47">
        <f t="shared" si="200"/>
        <v>0</v>
      </c>
      <c r="J50" s="47">
        <f t="shared" si="201"/>
        <v>0</v>
      </c>
      <c r="M50" s="48"/>
      <c r="N50" s="47">
        <f t="shared" si="202"/>
        <v>0</v>
      </c>
      <c r="Q50" s="48"/>
      <c r="R50" s="47">
        <f t="shared" si="203"/>
        <v>0</v>
      </c>
      <c r="U50" s="48"/>
      <c r="V50" s="47">
        <f t="shared" si="204"/>
        <v>0</v>
      </c>
      <c r="Y50" s="48"/>
      <c r="Z50" s="47">
        <f t="shared" si="205"/>
        <v>0</v>
      </c>
      <c r="AC50" s="48"/>
      <c r="AD50" s="47">
        <f t="shared" si="206"/>
        <v>0</v>
      </c>
      <c r="AG50" s="48"/>
      <c r="AH50" s="47">
        <f t="shared" si="207"/>
        <v>0</v>
      </c>
      <c r="AK50" s="48"/>
      <c r="AL50" s="47">
        <f t="shared" si="208"/>
        <v>0</v>
      </c>
      <c r="AO50" s="48"/>
      <c r="AP50" s="47">
        <f t="shared" si="209"/>
        <v>0</v>
      </c>
      <c r="AS50" s="48"/>
      <c r="AT50" s="47">
        <f t="shared" si="210"/>
        <v>0</v>
      </c>
      <c r="AW50" s="48"/>
      <c r="AX50" s="47">
        <f t="shared" si="211"/>
        <v>0</v>
      </c>
      <c r="AY50" s="6">
        <f t="shared" si="212"/>
        <v>0</v>
      </c>
      <c r="AZ50" s="48">
        <f t="shared" si="213"/>
        <v>0</v>
      </c>
      <c r="BA50" s="7"/>
      <c r="BB50" s="8"/>
      <c r="BC50" s="9"/>
    </row>
    <row r="51" spans="1:55" s="6" customFormat="1" x14ac:dyDescent="0.2">
      <c r="A51" s="104" t="s">
        <v>47</v>
      </c>
      <c r="B51" s="47">
        <f t="shared" si="199"/>
        <v>0</v>
      </c>
      <c r="F51" s="47">
        <f t="shared" si="200"/>
        <v>0</v>
      </c>
      <c r="J51" s="47">
        <f t="shared" si="201"/>
        <v>0</v>
      </c>
      <c r="M51" s="48"/>
      <c r="N51" s="47">
        <f t="shared" si="202"/>
        <v>0</v>
      </c>
      <c r="Q51" s="48"/>
      <c r="R51" s="47">
        <f>S51+T51</f>
        <v>0</v>
      </c>
      <c r="U51" s="48"/>
      <c r="V51" s="47">
        <f t="shared" si="204"/>
        <v>0</v>
      </c>
      <c r="Y51" s="48"/>
      <c r="Z51" s="47">
        <f t="shared" si="205"/>
        <v>0</v>
      </c>
      <c r="AC51" s="48"/>
      <c r="AD51" s="47">
        <f t="shared" si="206"/>
        <v>0</v>
      </c>
      <c r="AG51" s="48"/>
      <c r="AH51" s="47">
        <f t="shared" si="207"/>
        <v>0</v>
      </c>
      <c r="AK51" s="48"/>
      <c r="AL51" s="47">
        <f t="shared" si="208"/>
        <v>0</v>
      </c>
      <c r="AO51" s="48"/>
      <c r="AP51" s="47">
        <f t="shared" si="209"/>
        <v>0</v>
      </c>
      <c r="AS51" s="48"/>
      <c r="AT51" s="47">
        <f t="shared" si="210"/>
        <v>0</v>
      </c>
      <c r="AW51" s="48"/>
      <c r="AX51" s="47">
        <f t="shared" si="211"/>
        <v>0</v>
      </c>
      <c r="AY51" s="6">
        <f t="shared" si="212"/>
        <v>0</v>
      </c>
      <c r="AZ51" s="48">
        <f>D51+H51+L51+P51+T51+X51+AB51+AF51+AJ51+AN51+AR51+AV51</f>
        <v>0</v>
      </c>
      <c r="BA51" s="7"/>
      <c r="BB51" s="8"/>
      <c r="BC51" s="9"/>
    </row>
    <row r="52" spans="1:55" s="6" customFormat="1" x14ac:dyDescent="0.2">
      <c r="A52" s="104" t="s">
        <v>48</v>
      </c>
      <c r="B52" s="47">
        <f t="shared" si="199"/>
        <v>0</v>
      </c>
      <c r="F52" s="47">
        <f t="shared" si="200"/>
        <v>0</v>
      </c>
      <c r="J52" s="47">
        <f t="shared" si="201"/>
        <v>0</v>
      </c>
      <c r="M52" s="48"/>
      <c r="N52" s="47">
        <f t="shared" si="202"/>
        <v>0</v>
      </c>
      <c r="Q52" s="48"/>
      <c r="R52" s="47">
        <f t="shared" si="203"/>
        <v>0</v>
      </c>
      <c r="U52" s="48"/>
      <c r="V52" s="47">
        <f t="shared" si="204"/>
        <v>0</v>
      </c>
      <c r="Y52" s="48"/>
      <c r="Z52" s="47">
        <f t="shared" si="205"/>
        <v>0</v>
      </c>
      <c r="AC52" s="48"/>
      <c r="AD52" s="47">
        <f t="shared" si="206"/>
        <v>0</v>
      </c>
      <c r="AG52" s="48"/>
      <c r="AH52" s="47">
        <f t="shared" si="207"/>
        <v>0</v>
      </c>
      <c r="AK52" s="48"/>
      <c r="AL52" s="47">
        <f t="shared" si="208"/>
        <v>0</v>
      </c>
      <c r="AO52" s="48"/>
      <c r="AP52" s="47">
        <f t="shared" si="209"/>
        <v>0</v>
      </c>
      <c r="AS52" s="48"/>
      <c r="AT52" s="47">
        <f t="shared" si="210"/>
        <v>0</v>
      </c>
      <c r="AW52" s="48"/>
      <c r="AX52" s="47">
        <f t="shared" si="211"/>
        <v>0</v>
      </c>
      <c r="AY52" s="6">
        <f t="shared" si="212"/>
        <v>0</v>
      </c>
      <c r="AZ52" s="48">
        <f t="shared" si="213"/>
        <v>0</v>
      </c>
      <c r="BA52" s="7"/>
      <c r="BB52" s="8"/>
      <c r="BC52" s="9"/>
    </row>
    <row r="53" spans="1:55" s="6" customFormat="1" x14ac:dyDescent="0.2">
      <c r="A53" s="104" t="s">
        <v>49</v>
      </c>
      <c r="B53" s="47">
        <f t="shared" si="199"/>
        <v>0</v>
      </c>
      <c r="F53" s="47">
        <f t="shared" si="200"/>
        <v>0</v>
      </c>
      <c r="J53" s="47">
        <f t="shared" si="201"/>
        <v>0</v>
      </c>
      <c r="M53" s="48"/>
      <c r="N53" s="47">
        <f t="shared" si="202"/>
        <v>0</v>
      </c>
      <c r="Q53" s="48"/>
      <c r="R53" s="47">
        <f t="shared" si="203"/>
        <v>0</v>
      </c>
      <c r="U53" s="48"/>
      <c r="V53" s="47">
        <f t="shared" si="204"/>
        <v>0</v>
      </c>
      <c r="Y53" s="48"/>
      <c r="Z53" s="47">
        <f t="shared" si="205"/>
        <v>0</v>
      </c>
      <c r="AC53" s="48"/>
      <c r="AD53" s="47">
        <f t="shared" si="206"/>
        <v>0</v>
      </c>
      <c r="AG53" s="48"/>
      <c r="AH53" s="47">
        <f t="shared" si="207"/>
        <v>0</v>
      </c>
      <c r="AK53" s="48"/>
      <c r="AL53" s="47">
        <f t="shared" si="208"/>
        <v>0</v>
      </c>
      <c r="AO53" s="48"/>
      <c r="AP53" s="47">
        <f t="shared" si="209"/>
        <v>0</v>
      </c>
      <c r="AS53" s="48"/>
      <c r="AT53" s="47">
        <f t="shared" si="210"/>
        <v>0</v>
      </c>
      <c r="AW53" s="48"/>
      <c r="AX53" s="47">
        <f t="shared" si="211"/>
        <v>0</v>
      </c>
      <c r="AY53" s="6">
        <f t="shared" si="212"/>
        <v>0</v>
      </c>
      <c r="AZ53" s="48">
        <f t="shared" si="213"/>
        <v>0</v>
      </c>
      <c r="BA53" s="7"/>
      <c r="BB53" s="8"/>
      <c r="BC53" s="9"/>
    </row>
    <row r="54" spans="1:55" s="6" customFormat="1" x14ac:dyDescent="0.2">
      <c r="A54" s="104" t="s">
        <v>50</v>
      </c>
      <c r="B54" s="47">
        <f t="shared" si="199"/>
        <v>0</v>
      </c>
      <c r="F54" s="47">
        <f t="shared" si="200"/>
        <v>0</v>
      </c>
      <c r="J54" s="47">
        <f t="shared" si="201"/>
        <v>0</v>
      </c>
      <c r="M54" s="48"/>
      <c r="N54" s="47">
        <f t="shared" si="202"/>
        <v>0</v>
      </c>
      <c r="Q54" s="48"/>
      <c r="R54" s="47">
        <f t="shared" si="203"/>
        <v>0</v>
      </c>
      <c r="U54" s="48"/>
      <c r="V54" s="47">
        <f t="shared" si="204"/>
        <v>0</v>
      </c>
      <c r="Y54" s="48"/>
      <c r="Z54" s="47">
        <f t="shared" si="205"/>
        <v>0</v>
      </c>
      <c r="AC54" s="48"/>
      <c r="AD54" s="47">
        <f t="shared" si="206"/>
        <v>0</v>
      </c>
      <c r="AG54" s="48"/>
      <c r="AH54" s="47">
        <f t="shared" si="207"/>
        <v>0</v>
      </c>
      <c r="AK54" s="48"/>
      <c r="AL54" s="47">
        <f t="shared" si="208"/>
        <v>0</v>
      </c>
      <c r="AO54" s="48"/>
      <c r="AP54" s="47">
        <f t="shared" si="209"/>
        <v>0</v>
      </c>
      <c r="AS54" s="48"/>
      <c r="AT54" s="47">
        <f t="shared" si="210"/>
        <v>0</v>
      </c>
      <c r="AW54" s="48"/>
      <c r="AX54" s="47">
        <f t="shared" si="211"/>
        <v>0</v>
      </c>
      <c r="AY54" s="6">
        <f t="shared" si="212"/>
        <v>0</v>
      </c>
      <c r="AZ54" s="48">
        <f t="shared" si="213"/>
        <v>0</v>
      </c>
      <c r="BA54" s="7"/>
      <c r="BB54" s="8"/>
      <c r="BC54" s="9"/>
    </row>
    <row r="55" spans="1:55" s="6" customFormat="1" x14ac:dyDescent="0.2">
      <c r="A55" s="104" t="s">
        <v>51</v>
      </c>
      <c r="B55" s="47">
        <f>C55+D55</f>
        <v>2250</v>
      </c>
      <c r="C55" s="6">
        <f>2250/2</f>
        <v>1125</v>
      </c>
      <c r="D55" s="6">
        <f>2250/2</f>
        <v>1125</v>
      </c>
      <c r="F55" s="47">
        <f t="shared" si="200"/>
        <v>2250</v>
      </c>
      <c r="G55" s="6">
        <f>I55/2</f>
        <v>1125</v>
      </c>
      <c r="H55" s="6">
        <f>I55/2</f>
        <v>1125</v>
      </c>
      <c r="I55" s="6">
        <v>2250</v>
      </c>
      <c r="J55" s="47">
        <f t="shared" si="201"/>
        <v>2250</v>
      </c>
      <c r="K55" s="6">
        <f>2250/2</f>
        <v>1125</v>
      </c>
      <c r="L55" s="6">
        <f>2250/2</f>
        <v>1125</v>
      </c>
      <c r="M55" s="48"/>
      <c r="N55" s="47">
        <f t="shared" si="202"/>
        <v>0</v>
      </c>
      <c r="Q55" s="48"/>
      <c r="R55" s="47">
        <f t="shared" si="203"/>
        <v>0</v>
      </c>
      <c r="U55" s="48"/>
      <c r="V55" s="47">
        <f t="shared" si="204"/>
        <v>0</v>
      </c>
      <c r="Y55" s="48"/>
      <c r="Z55" s="47">
        <f t="shared" si="205"/>
        <v>0</v>
      </c>
      <c r="AC55" s="48"/>
      <c r="AD55" s="47">
        <f t="shared" si="206"/>
        <v>0</v>
      </c>
      <c r="AG55" s="48"/>
      <c r="AH55" s="47">
        <f t="shared" si="207"/>
        <v>0</v>
      </c>
      <c r="AK55" s="48"/>
      <c r="AL55" s="47">
        <f t="shared" si="208"/>
        <v>0</v>
      </c>
      <c r="AO55" s="48"/>
      <c r="AP55" s="47">
        <f t="shared" si="209"/>
        <v>0</v>
      </c>
      <c r="AS55" s="48"/>
      <c r="AT55" s="47">
        <f t="shared" si="210"/>
        <v>0</v>
      </c>
      <c r="AW55" s="48"/>
      <c r="AX55" s="47">
        <f t="shared" si="211"/>
        <v>6750</v>
      </c>
      <c r="AY55" s="6">
        <f t="shared" si="212"/>
        <v>3375</v>
      </c>
      <c r="AZ55" s="48">
        <f t="shared" si="213"/>
        <v>3375</v>
      </c>
      <c r="BA55" s="7"/>
      <c r="BB55" s="8"/>
      <c r="BC55" s="9"/>
    </row>
    <row r="56" spans="1:55" s="6" customFormat="1" x14ac:dyDescent="0.2">
      <c r="A56" s="104" t="s">
        <v>52</v>
      </c>
      <c r="B56" s="47">
        <f t="shared" si="199"/>
        <v>0</v>
      </c>
      <c r="F56" s="47">
        <f t="shared" si="200"/>
        <v>0</v>
      </c>
      <c r="J56" s="47">
        <f t="shared" si="201"/>
        <v>0</v>
      </c>
      <c r="M56" s="48"/>
      <c r="N56" s="47">
        <f t="shared" si="202"/>
        <v>0</v>
      </c>
      <c r="Q56" s="48"/>
      <c r="R56" s="47">
        <f t="shared" si="203"/>
        <v>0</v>
      </c>
      <c r="U56" s="48"/>
      <c r="V56" s="47">
        <f t="shared" si="204"/>
        <v>0</v>
      </c>
      <c r="Y56" s="48"/>
      <c r="Z56" s="47">
        <f t="shared" si="205"/>
        <v>0</v>
      </c>
      <c r="AC56" s="48"/>
      <c r="AD56" s="47">
        <f t="shared" si="206"/>
        <v>0</v>
      </c>
      <c r="AG56" s="48"/>
      <c r="AH56" s="47">
        <f t="shared" si="207"/>
        <v>0</v>
      </c>
      <c r="AK56" s="48"/>
      <c r="AL56" s="47">
        <f t="shared" si="208"/>
        <v>0</v>
      </c>
      <c r="AO56" s="48"/>
      <c r="AP56" s="47">
        <f t="shared" si="209"/>
        <v>0</v>
      </c>
      <c r="AS56" s="48"/>
      <c r="AT56" s="47">
        <f t="shared" si="210"/>
        <v>0</v>
      </c>
      <c r="AW56" s="48"/>
      <c r="AX56" s="47">
        <f t="shared" si="211"/>
        <v>0</v>
      </c>
      <c r="AY56" s="6">
        <f t="shared" si="212"/>
        <v>0</v>
      </c>
      <c r="AZ56" s="48">
        <f t="shared" si="213"/>
        <v>0</v>
      </c>
      <c r="BA56" s="7"/>
      <c r="BB56" s="8"/>
      <c r="BC56" s="9"/>
    </row>
    <row r="57" spans="1:55" s="6" customFormat="1" x14ac:dyDescent="0.2">
      <c r="A57" s="104" t="s">
        <v>53</v>
      </c>
      <c r="B57" s="47">
        <f t="shared" si="199"/>
        <v>0</v>
      </c>
      <c r="F57" s="47">
        <f t="shared" si="200"/>
        <v>500</v>
      </c>
      <c r="G57" s="6">
        <f>250+250</f>
        <v>500</v>
      </c>
      <c r="J57" s="47">
        <f t="shared" si="201"/>
        <v>500</v>
      </c>
      <c r="K57" s="6">
        <v>500</v>
      </c>
      <c r="M57" s="48"/>
      <c r="N57" s="47">
        <f t="shared" si="202"/>
        <v>0</v>
      </c>
      <c r="Q57" s="48"/>
      <c r="R57" s="47">
        <f t="shared" si="203"/>
        <v>0</v>
      </c>
      <c r="U57" s="48"/>
      <c r="V57" s="47">
        <f t="shared" si="204"/>
        <v>0</v>
      </c>
      <c r="Y57" s="48"/>
      <c r="Z57" s="47">
        <f t="shared" si="205"/>
        <v>0</v>
      </c>
      <c r="AC57" s="48"/>
      <c r="AD57" s="47">
        <f t="shared" si="206"/>
        <v>0</v>
      </c>
      <c r="AG57" s="48"/>
      <c r="AH57" s="47">
        <f t="shared" si="207"/>
        <v>0</v>
      </c>
      <c r="AK57" s="48"/>
      <c r="AL57" s="47">
        <f t="shared" si="208"/>
        <v>0</v>
      </c>
      <c r="AO57" s="48"/>
      <c r="AP57" s="47">
        <f t="shared" si="209"/>
        <v>0</v>
      </c>
      <c r="AS57" s="48"/>
      <c r="AT57" s="47">
        <f t="shared" si="210"/>
        <v>0</v>
      </c>
      <c r="AW57" s="48"/>
      <c r="AX57" s="47">
        <f t="shared" si="211"/>
        <v>1000</v>
      </c>
      <c r="AY57" s="6">
        <f t="shared" si="212"/>
        <v>1000</v>
      </c>
      <c r="AZ57" s="48">
        <f t="shared" si="213"/>
        <v>0</v>
      </c>
      <c r="BA57" s="7"/>
      <c r="BB57" s="8"/>
      <c r="BC57" s="9"/>
    </row>
    <row r="58" spans="1:55" s="6" customFormat="1" x14ac:dyDescent="0.2">
      <c r="A58" s="104" t="s">
        <v>54</v>
      </c>
      <c r="B58" s="47">
        <f t="shared" si="199"/>
        <v>0</v>
      </c>
      <c r="F58" s="47">
        <f t="shared" si="200"/>
        <v>0</v>
      </c>
      <c r="J58" s="47">
        <f t="shared" si="201"/>
        <v>0</v>
      </c>
      <c r="M58" s="48"/>
      <c r="N58" s="47">
        <f t="shared" si="202"/>
        <v>0</v>
      </c>
      <c r="Q58" s="48"/>
      <c r="R58" s="47">
        <f t="shared" si="203"/>
        <v>0</v>
      </c>
      <c r="U58" s="48"/>
      <c r="V58" s="47">
        <f t="shared" si="204"/>
        <v>0</v>
      </c>
      <c r="Y58" s="48"/>
      <c r="Z58" s="47">
        <f t="shared" si="205"/>
        <v>0</v>
      </c>
      <c r="AC58" s="48"/>
      <c r="AD58" s="47">
        <f t="shared" si="206"/>
        <v>0</v>
      </c>
      <c r="AG58" s="48"/>
      <c r="AH58" s="47">
        <f t="shared" si="207"/>
        <v>0</v>
      </c>
      <c r="AK58" s="48"/>
      <c r="AL58" s="47">
        <f t="shared" si="208"/>
        <v>0</v>
      </c>
      <c r="AO58" s="48"/>
      <c r="AP58" s="47">
        <f t="shared" si="209"/>
        <v>0</v>
      </c>
      <c r="AS58" s="48"/>
      <c r="AT58" s="47">
        <f t="shared" si="210"/>
        <v>0</v>
      </c>
      <c r="AW58" s="48"/>
      <c r="AX58" s="47">
        <f t="shared" si="211"/>
        <v>0</v>
      </c>
      <c r="AY58" s="6">
        <f t="shared" si="212"/>
        <v>0</v>
      </c>
      <c r="AZ58" s="48">
        <f t="shared" si="213"/>
        <v>0</v>
      </c>
      <c r="BA58" s="7"/>
      <c r="BB58" s="8"/>
      <c r="BC58" s="9"/>
    </row>
    <row r="59" spans="1:55" s="6" customFormat="1" x14ac:dyDescent="0.2">
      <c r="A59" s="104" t="s">
        <v>130</v>
      </c>
      <c r="B59" s="47">
        <f t="shared" si="199"/>
        <v>0</v>
      </c>
      <c r="F59" s="47">
        <f t="shared" si="200"/>
        <v>0</v>
      </c>
      <c r="J59" s="47">
        <f t="shared" si="201"/>
        <v>0</v>
      </c>
      <c r="M59" s="48"/>
      <c r="N59" s="47">
        <f t="shared" si="202"/>
        <v>0</v>
      </c>
      <c r="Q59" s="48"/>
      <c r="R59" s="47">
        <f t="shared" si="203"/>
        <v>0</v>
      </c>
      <c r="U59" s="48"/>
      <c r="V59" s="47">
        <f t="shared" si="204"/>
        <v>0</v>
      </c>
      <c r="Y59" s="48"/>
      <c r="Z59" s="47">
        <f t="shared" si="205"/>
        <v>0</v>
      </c>
      <c r="AC59" s="48"/>
      <c r="AD59" s="47">
        <f t="shared" si="206"/>
        <v>0</v>
      </c>
      <c r="AG59" s="48"/>
      <c r="AH59" s="47">
        <f t="shared" si="207"/>
        <v>0</v>
      </c>
      <c r="AK59" s="48"/>
      <c r="AL59" s="47">
        <f t="shared" si="208"/>
        <v>0</v>
      </c>
      <c r="AO59" s="48"/>
      <c r="AP59" s="47">
        <f t="shared" si="209"/>
        <v>0</v>
      </c>
      <c r="AS59" s="48"/>
      <c r="AT59" s="47">
        <f t="shared" si="210"/>
        <v>0</v>
      </c>
      <c r="AW59" s="48"/>
      <c r="AX59" s="47">
        <f t="shared" si="211"/>
        <v>0</v>
      </c>
      <c r="AY59" s="6">
        <f t="shared" si="212"/>
        <v>0</v>
      </c>
      <c r="AZ59" s="48">
        <f t="shared" si="213"/>
        <v>0</v>
      </c>
      <c r="BA59" s="7"/>
      <c r="BB59" s="8"/>
      <c r="BC59" s="9"/>
    </row>
    <row r="60" spans="1:55" s="6" customFormat="1" x14ac:dyDescent="0.2">
      <c r="A60" s="104" t="s">
        <v>129</v>
      </c>
      <c r="B60" s="47">
        <f t="shared" si="199"/>
        <v>1370</v>
      </c>
      <c r="D60" s="6">
        <v>1370</v>
      </c>
      <c r="F60" s="47">
        <f t="shared" si="200"/>
        <v>0</v>
      </c>
      <c r="J60" s="47">
        <f t="shared" si="201"/>
        <v>2605</v>
      </c>
      <c r="L60" s="6">
        <f>1370+1235</f>
        <v>2605</v>
      </c>
      <c r="M60" s="48"/>
      <c r="N60" s="47">
        <f t="shared" si="202"/>
        <v>0</v>
      </c>
      <c r="Q60" s="48"/>
      <c r="R60" s="47">
        <f t="shared" si="203"/>
        <v>0</v>
      </c>
      <c r="U60" s="48"/>
      <c r="V60" s="47">
        <f t="shared" si="204"/>
        <v>0</v>
      </c>
      <c r="Y60" s="48"/>
      <c r="Z60" s="47">
        <f t="shared" si="205"/>
        <v>0</v>
      </c>
      <c r="AC60" s="48"/>
      <c r="AD60" s="47">
        <f t="shared" si="206"/>
        <v>0</v>
      </c>
      <c r="AG60" s="48"/>
      <c r="AH60" s="47">
        <f t="shared" si="207"/>
        <v>0</v>
      </c>
      <c r="AK60" s="48"/>
      <c r="AL60" s="47">
        <f t="shared" si="208"/>
        <v>0</v>
      </c>
      <c r="AO60" s="48"/>
      <c r="AP60" s="47">
        <f t="shared" si="209"/>
        <v>0</v>
      </c>
      <c r="AS60" s="48"/>
      <c r="AT60" s="47">
        <f t="shared" si="210"/>
        <v>0</v>
      </c>
      <c r="AW60" s="48"/>
      <c r="AX60" s="47">
        <f t="shared" si="211"/>
        <v>3975</v>
      </c>
      <c r="AY60" s="6">
        <f t="shared" si="212"/>
        <v>0</v>
      </c>
      <c r="AZ60" s="48">
        <f t="shared" si="213"/>
        <v>3975</v>
      </c>
      <c r="BA60" s="7"/>
      <c r="BB60" s="8"/>
      <c r="BC60" s="9"/>
    </row>
    <row r="61" spans="1:55" s="6" customFormat="1" x14ac:dyDescent="0.2">
      <c r="A61" s="104" t="s">
        <v>132</v>
      </c>
      <c r="B61" s="47">
        <f t="shared" si="199"/>
        <v>2000</v>
      </c>
      <c r="C61" s="6">
        <v>2000</v>
      </c>
      <c r="F61" s="47">
        <f t="shared" si="200"/>
        <v>0</v>
      </c>
      <c r="J61" s="47">
        <f t="shared" si="201"/>
        <v>2000</v>
      </c>
      <c r="K61" s="6">
        <v>2000</v>
      </c>
      <c r="M61" s="48"/>
      <c r="N61" s="47">
        <f t="shared" si="202"/>
        <v>0</v>
      </c>
      <c r="Q61" s="48"/>
      <c r="R61" s="47">
        <f t="shared" si="203"/>
        <v>0</v>
      </c>
      <c r="U61" s="48"/>
      <c r="V61" s="47">
        <f t="shared" si="204"/>
        <v>0</v>
      </c>
      <c r="Y61" s="48"/>
      <c r="Z61" s="47">
        <f t="shared" si="205"/>
        <v>0</v>
      </c>
      <c r="AC61" s="48"/>
      <c r="AD61" s="47">
        <f t="shared" si="206"/>
        <v>0</v>
      </c>
      <c r="AG61" s="48"/>
      <c r="AH61" s="47">
        <f t="shared" si="207"/>
        <v>0</v>
      </c>
      <c r="AI61" s="6">
        <v>0</v>
      </c>
      <c r="AK61" s="48"/>
      <c r="AL61" s="47">
        <f t="shared" si="208"/>
        <v>0</v>
      </c>
      <c r="AO61" s="48"/>
      <c r="AP61" s="47">
        <f t="shared" si="209"/>
        <v>0</v>
      </c>
      <c r="AS61" s="48"/>
      <c r="AT61" s="47">
        <f t="shared" si="210"/>
        <v>0</v>
      </c>
      <c r="AW61" s="48"/>
      <c r="AX61" s="47">
        <f t="shared" si="211"/>
        <v>4000</v>
      </c>
      <c r="AY61" s="6">
        <f t="shared" si="212"/>
        <v>4000</v>
      </c>
      <c r="AZ61" s="48">
        <f t="shared" si="213"/>
        <v>0</v>
      </c>
      <c r="BA61" s="7"/>
      <c r="BB61" s="8"/>
      <c r="BC61" s="9"/>
    </row>
    <row r="62" spans="1:55" s="6" customFormat="1" x14ac:dyDescent="0.2">
      <c r="A62" s="104" t="s">
        <v>131</v>
      </c>
      <c r="B62" s="47">
        <f t="shared" si="199"/>
        <v>0</v>
      </c>
      <c r="F62" s="47">
        <f t="shared" si="200"/>
        <v>100</v>
      </c>
      <c r="H62" s="6">
        <f>50+50</f>
        <v>100</v>
      </c>
      <c r="J62" s="47">
        <f t="shared" si="201"/>
        <v>0</v>
      </c>
      <c r="M62" s="48"/>
      <c r="N62" s="47">
        <f t="shared" si="202"/>
        <v>0</v>
      </c>
      <c r="Q62" s="48"/>
      <c r="R62" s="47">
        <f t="shared" si="203"/>
        <v>0</v>
      </c>
      <c r="U62" s="48"/>
      <c r="V62" s="47">
        <f t="shared" si="204"/>
        <v>0</v>
      </c>
      <c r="Y62" s="48"/>
      <c r="Z62" s="47">
        <f t="shared" si="205"/>
        <v>0</v>
      </c>
      <c r="AC62" s="48"/>
      <c r="AD62" s="47">
        <f t="shared" si="206"/>
        <v>0</v>
      </c>
      <c r="AG62" s="48"/>
      <c r="AH62" s="47">
        <f t="shared" si="207"/>
        <v>0</v>
      </c>
      <c r="AK62" s="48"/>
      <c r="AL62" s="47">
        <f t="shared" si="208"/>
        <v>0</v>
      </c>
      <c r="AO62" s="48"/>
      <c r="AP62" s="47">
        <f t="shared" si="209"/>
        <v>0</v>
      </c>
      <c r="AS62" s="48"/>
      <c r="AT62" s="47">
        <f t="shared" si="210"/>
        <v>0</v>
      </c>
      <c r="AW62" s="48"/>
      <c r="AX62" s="47">
        <f t="shared" si="211"/>
        <v>100</v>
      </c>
      <c r="AY62" s="6">
        <f t="shared" si="212"/>
        <v>0</v>
      </c>
      <c r="AZ62" s="48">
        <f t="shared" si="213"/>
        <v>100</v>
      </c>
      <c r="BA62" s="7"/>
      <c r="BB62" s="8"/>
      <c r="BC62" s="9"/>
    </row>
    <row r="63" spans="1:55" s="6" customFormat="1" x14ac:dyDescent="0.2">
      <c r="A63" s="104" t="s">
        <v>55</v>
      </c>
      <c r="B63" s="47">
        <f t="shared" si="199"/>
        <v>136.94999999999999</v>
      </c>
      <c r="C63" s="6">
        <f t="shared" ref="C63" si="253">E63*$BA63/100</f>
        <v>136.94999999999999</v>
      </c>
      <c r="D63" s="6">
        <f t="shared" ref="D63" si="254">E63*$BB63/100</f>
        <v>0</v>
      </c>
      <c r="E63" s="6">
        <v>136.94999999999999</v>
      </c>
      <c r="F63" s="47">
        <f t="shared" si="200"/>
        <v>136.38999999999999</v>
      </c>
      <c r="G63" s="6">
        <f t="shared" ref="G63" si="255">I63*$BA63/100</f>
        <v>136.38999999999999</v>
      </c>
      <c r="H63" s="6">
        <f t="shared" ref="H63" si="256">I63*$BB63/100</f>
        <v>0</v>
      </c>
      <c r="I63" s="6">
        <v>136.38999999999999</v>
      </c>
      <c r="J63" s="47">
        <f t="shared" si="201"/>
        <v>0</v>
      </c>
      <c r="K63" s="6">
        <f t="shared" ref="K63" si="257">M63*$BA63/100</f>
        <v>0</v>
      </c>
      <c r="L63" s="6">
        <f t="shared" ref="L63" si="258">M63*$BB63/100</f>
        <v>0</v>
      </c>
      <c r="M63" s="48"/>
      <c r="N63" s="47">
        <f t="shared" si="202"/>
        <v>0</v>
      </c>
      <c r="O63" s="6">
        <f t="shared" ref="O63" si="259">Q63*$BA63/100</f>
        <v>0</v>
      </c>
      <c r="P63" s="6">
        <f t="shared" ref="P63" si="260">Q63*$BB63/100</f>
        <v>0</v>
      </c>
      <c r="Q63" s="48"/>
      <c r="R63" s="47">
        <f t="shared" si="203"/>
        <v>0</v>
      </c>
      <c r="S63" s="6">
        <f t="shared" ref="S63" si="261">U63*$BA63/100</f>
        <v>0</v>
      </c>
      <c r="T63" s="6">
        <f t="shared" ref="T63" si="262">U63*$BB63/100</f>
        <v>0</v>
      </c>
      <c r="U63" s="48"/>
      <c r="V63" s="47">
        <f t="shared" si="204"/>
        <v>0</v>
      </c>
      <c r="W63" s="6">
        <f t="shared" ref="W63" si="263">Y63*$BA63/100</f>
        <v>0</v>
      </c>
      <c r="X63" s="6">
        <f t="shared" ref="X63" si="264">Y63*$BB63/100</f>
        <v>0</v>
      </c>
      <c r="Y63" s="48"/>
      <c r="Z63" s="47">
        <f t="shared" si="205"/>
        <v>0</v>
      </c>
      <c r="AA63" s="6">
        <f t="shared" ref="AA63" si="265">AC63*$BA63/100</f>
        <v>0</v>
      </c>
      <c r="AB63" s="6">
        <f t="shared" ref="AB63" si="266">AC63*$BB63/100</f>
        <v>0</v>
      </c>
      <c r="AC63" s="48"/>
      <c r="AD63" s="47">
        <f t="shared" si="206"/>
        <v>0</v>
      </c>
      <c r="AE63" s="6">
        <f t="shared" ref="AE63" si="267">AG63*$BA63/100</f>
        <v>0</v>
      </c>
      <c r="AF63" s="6">
        <f t="shared" ref="AF63" si="268">AG63*$BB63/100</f>
        <v>0</v>
      </c>
      <c r="AG63" s="48"/>
      <c r="AH63" s="47">
        <f t="shared" si="207"/>
        <v>0</v>
      </c>
      <c r="AI63" s="6">
        <f t="shared" ref="AI63" si="269">AK63*$BA63/100</f>
        <v>0</v>
      </c>
      <c r="AJ63" s="6">
        <f t="shared" ref="AJ63" si="270">AK63*$BB63/100</f>
        <v>0</v>
      </c>
      <c r="AK63" s="48"/>
      <c r="AL63" s="47">
        <f t="shared" si="208"/>
        <v>0</v>
      </c>
      <c r="AM63" s="6">
        <f t="shared" ref="AM63" si="271">AO63*$BA63/100</f>
        <v>0</v>
      </c>
      <c r="AN63" s="6">
        <f t="shared" ref="AN63" si="272">AO63*$BB63/100</f>
        <v>0</v>
      </c>
      <c r="AO63" s="48"/>
      <c r="AP63" s="47">
        <f t="shared" si="209"/>
        <v>0</v>
      </c>
      <c r="AQ63" s="6">
        <f t="shared" ref="AQ63" si="273">AS63*$BA63/100</f>
        <v>0</v>
      </c>
      <c r="AR63" s="6">
        <f t="shared" ref="AR63" si="274">AS63*$BB63/100</f>
        <v>0</v>
      </c>
      <c r="AS63" s="48"/>
      <c r="AT63" s="47">
        <f t="shared" si="210"/>
        <v>0</v>
      </c>
      <c r="AU63" s="6">
        <f t="shared" ref="AU63" si="275">AW63*$BA63/100</f>
        <v>0</v>
      </c>
      <c r="AV63" s="6">
        <f t="shared" ref="AV63" si="276">AW63*$BB63/100</f>
        <v>0</v>
      </c>
      <c r="AW63" s="48"/>
      <c r="AX63" s="47">
        <f t="shared" ref="AX63:AX82" si="277">B63+F63+J63+N63+R63+V63+Z63+AD63+AH63+AL63+AP63+AT63</f>
        <v>273.33999999999997</v>
      </c>
      <c r="AY63" s="6">
        <f t="shared" ref="AY63:AY82" si="278">C63+G63+K63+O63+S63+W63+AA63+AE63+AI63+AM63+AQ63+AU63</f>
        <v>273.33999999999997</v>
      </c>
      <c r="AZ63" s="48">
        <f t="shared" ref="AZ63:AZ82" si="279">D63+H63+L63+P63+T63+X63+AB63+AF63+AJ63+AN63+AR63+AV63</f>
        <v>0</v>
      </c>
      <c r="BA63" s="7">
        <f>BC$1</f>
        <v>100</v>
      </c>
      <c r="BB63" s="8">
        <f t="shared" ref="BB63" si="280">100-BA63</f>
        <v>0</v>
      </c>
      <c r="BC63" s="9">
        <f t="shared" ref="BC63" si="281">AX63*(BB63/100)</f>
        <v>0</v>
      </c>
    </row>
    <row r="64" spans="1:55" s="6" customFormat="1" x14ac:dyDescent="0.2">
      <c r="A64" s="104" t="s">
        <v>56</v>
      </c>
      <c r="B64" s="47">
        <f t="shared" si="199"/>
        <v>0</v>
      </c>
      <c r="F64" s="47">
        <f t="shared" si="200"/>
        <v>0</v>
      </c>
      <c r="J64" s="47">
        <f t="shared" si="201"/>
        <v>0</v>
      </c>
      <c r="M64" s="48"/>
      <c r="N64" s="47">
        <f t="shared" si="202"/>
        <v>0</v>
      </c>
      <c r="Q64" s="48"/>
      <c r="R64" s="47">
        <f t="shared" si="203"/>
        <v>0</v>
      </c>
      <c r="U64" s="48"/>
      <c r="V64" s="47">
        <f t="shared" si="204"/>
        <v>0</v>
      </c>
      <c r="Y64" s="48"/>
      <c r="Z64" s="47">
        <f t="shared" si="205"/>
        <v>0</v>
      </c>
      <c r="AC64" s="48"/>
      <c r="AD64" s="47">
        <f t="shared" si="206"/>
        <v>0</v>
      </c>
      <c r="AG64" s="48"/>
      <c r="AH64" s="47">
        <f t="shared" si="207"/>
        <v>0</v>
      </c>
      <c r="AK64" s="48"/>
      <c r="AL64" s="47">
        <f t="shared" si="208"/>
        <v>0</v>
      </c>
      <c r="AO64" s="48"/>
      <c r="AP64" s="47">
        <f t="shared" si="209"/>
        <v>0</v>
      </c>
      <c r="AS64" s="48"/>
      <c r="AT64" s="47">
        <f t="shared" si="210"/>
        <v>0</v>
      </c>
      <c r="AW64" s="48"/>
      <c r="AX64" s="47">
        <f t="shared" si="277"/>
        <v>0</v>
      </c>
      <c r="AY64" s="6">
        <f t="shared" si="278"/>
        <v>0</v>
      </c>
      <c r="AZ64" s="48">
        <f t="shared" si="279"/>
        <v>0</v>
      </c>
      <c r="BA64" s="7"/>
      <c r="BB64" s="8"/>
      <c r="BC64" s="9"/>
    </row>
    <row r="65" spans="1:55" s="6" customFormat="1" x14ac:dyDescent="0.2">
      <c r="A65" s="104" t="s">
        <v>57</v>
      </c>
      <c r="B65" s="47">
        <f t="shared" si="199"/>
        <v>0</v>
      </c>
      <c r="F65" s="47">
        <f t="shared" si="200"/>
        <v>0</v>
      </c>
      <c r="J65" s="47">
        <f t="shared" si="201"/>
        <v>0</v>
      </c>
      <c r="M65" s="48"/>
      <c r="N65" s="47">
        <f t="shared" si="202"/>
        <v>0</v>
      </c>
      <c r="Q65" s="48"/>
      <c r="R65" s="47">
        <f t="shared" si="203"/>
        <v>0</v>
      </c>
      <c r="U65" s="48"/>
      <c r="V65" s="47">
        <f t="shared" si="204"/>
        <v>0</v>
      </c>
      <c r="Y65" s="48"/>
      <c r="Z65" s="47">
        <f t="shared" si="205"/>
        <v>0</v>
      </c>
      <c r="AC65" s="48"/>
      <c r="AD65" s="47">
        <f t="shared" si="206"/>
        <v>0</v>
      </c>
      <c r="AG65" s="48"/>
      <c r="AH65" s="47">
        <f t="shared" si="207"/>
        <v>0</v>
      </c>
      <c r="AK65" s="48"/>
      <c r="AL65" s="47">
        <f t="shared" si="208"/>
        <v>0</v>
      </c>
      <c r="AO65" s="48"/>
      <c r="AP65" s="47">
        <f t="shared" si="209"/>
        <v>0</v>
      </c>
      <c r="AS65" s="48"/>
      <c r="AT65" s="47">
        <f t="shared" si="210"/>
        <v>0</v>
      </c>
      <c r="AW65" s="48"/>
      <c r="AX65" s="47">
        <f t="shared" si="277"/>
        <v>0</v>
      </c>
      <c r="AY65" s="6">
        <f t="shared" si="278"/>
        <v>0</v>
      </c>
      <c r="AZ65" s="48">
        <f t="shared" si="279"/>
        <v>0</v>
      </c>
      <c r="BA65" s="7"/>
      <c r="BB65" s="8"/>
      <c r="BC65" s="9"/>
    </row>
    <row r="66" spans="1:55" s="6" customFormat="1" x14ac:dyDescent="0.2">
      <c r="A66" s="104" t="s">
        <v>58</v>
      </c>
      <c r="B66" s="47">
        <f t="shared" si="199"/>
        <v>0</v>
      </c>
      <c r="F66" s="47">
        <f t="shared" si="200"/>
        <v>0</v>
      </c>
      <c r="J66" s="47">
        <f t="shared" si="201"/>
        <v>0</v>
      </c>
      <c r="M66" s="48"/>
      <c r="N66" s="47">
        <f t="shared" si="202"/>
        <v>0</v>
      </c>
      <c r="Q66" s="48"/>
      <c r="R66" s="47">
        <f t="shared" si="203"/>
        <v>0</v>
      </c>
      <c r="U66" s="48"/>
      <c r="V66" s="47">
        <f t="shared" si="204"/>
        <v>0</v>
      </c>
      <c r="Y66" s="48"/>
      <c r="Z66" s="47">
        <f t="shared" si="205"/>
        <v>0</v>
      </c>
      <c r="AC66" s="48"/>
      <c r="AD66" s="47">
        <f t="shared" si="206"/>
        <v>0</v>
      </c>
      <c r="AG66" s="48"/>
      <c r="AH66" s="47">
        <f t="shared" si="207"/>
        <v>0</v>
      </c>
      <c r="AK66" s="48"/>
      <c r="AL66" s="47">
        <f t="shared" si="208"/>
        <v>0</v>
      </c>
      <c r="AO66" s="48"/>
      <c r="AP66" s="47">
        <f t="shared" si="209"/>
        <v>0</v>
      </c>
      <c r="AS66" s="48"/>
      <c r="AT66" s="47">
        <f t="shared" si="210"/>
        <v>0</v>
      </c>
      <c r="AW66" s="48"/>
      <c r="AX66" s="47">
        <f t="shared" si="277"/>
        <v>0</v>
      </c>
      <c r="AY66" s="6">
        <f t="shared" si="278"/>
        <v>0</v>
      </c>
      <c r="AZ66" s="48">
        <f t="shared" si="279"/>
        <v>0</v>
      </c>
      <c r="BA66" s="7"/>
      <c r="BB66" s="8"/>
      <c r="BC66" s="9"/>
    </row>
    <row r="67" spans="1:55" s="6" customFormat="1" x14ac:dyDescent="0.2">
      <c r="A67" s="104" t="s">
        <v>59</v>
      </c>
      <c r="B67" s="47">
        <f t="shared" si="199"/>
        <v>0</v>
      </c>
      <c r="F67" s="47">
        <f t="shared" si="200"/>
        <v>0</v>
      </c>
      <c r="J67" s="47">
        <f t="shared" si="201"/>
        <v>0</v>
      </c>
      <c r="M67" s="48"/>
      <c r="N67" s="47">
        <f t="shared" si="202"/>
        <v>0</v>
      </c>
      <c r="Q67" s="48"/>
      <c r="R67" s="47">
        <f t="shared" si="203"/>
        <v>0</v>
      </c>
      <c r="U67" s="48"/>
      <c r="V67" s="47">
        <f t="shared" si="204"/>
        <v>0</v>
      </c>
      <c r="Y67" s="48"/>
      <c r="Z67" s="47">
        <f t="shared" si="205"/>
        <v>0</v>
      </c>
      <c r="AC67" s="48"/>
      <c r="AD67" s="47">
        <f t="shared" si="206"/>
        <v>0</v>
      </c>
      <c r="AG67" s="48"/>
      <c r="AH67" s="47">
        <f t="shared" si="207"/>
        <v>0</v>
      </c>
      <c r="AK67" s="48"/>
      <c r="AL67" s="47">
        <f t="shared" si="208"/>
        <v>0</v>
      </c>
      <c r="AO67" s="48"/>
      <c r="AP67" s="47">
        <f t="shared" si="209"/>
        <v>0</v>
      </c>
      <c r="AS67" s="48"/>
      <c r="AT67" s="47">
        <f t="shared" si="210"/>
        <v>0</v>
      </c>
      <c r="AW67" s="48"/>
      <c r="AX67" s="47">
        <f t="shared" si="277"/>
        <v>0</v>
      </c>
      <c r="AY67" s="6">
        <f t="shared" si="278"/>
        <v>0</v>
      </c>
      <c r="AZ67" s="48">
        <f t="shared" si="279"/>
        <v>0</v>
      </c>
      <c r="BA67" s="7"/>
      <c r="BB67" s="8"/>
      <c r="BC67" s="9"/>
    </row>
    <row r="68" spans="1:55" s="6" customFormat="1" x14ac:dyDescent="0.2">
      <c r="A68" s="104" t="s">
        <v>60</v>
      </c>
      <c r="B68" s="47">
        <f t="shared" si="199"/>
        <v>0</v>
      </c>
      <c r="F68" s="47">
        <f t="shared" si="200"/>
        <v>0</v>
      </c>
      <c r="J68" s="47">
        <f t="shared" si="201"/>
        <v>0</v>
      </c>
      <c r="M68" s="48"/>
      <c r="N68" s="47">
        <f t="shared" si="202"/>
        <v>0</v>
      </c>
      <c r="Q68" s="48"/>
      <c r="R68" s="47">
        <f t="shared" si="203"/>
        <v>0</v>
      </c>
      <c r="U68" s="48"/>
      <c r="V68" s="47">
        <f t="shared" si="204"/>
        <v>0</v>
      </c>
      <c r="Y68" s="48"/>
      <c r="Z68" s="47">
        <f t="shared" si="205"/>
        <v>0</v>
      </c>
      <c r="AC68" s="48"/>
      <c r="AD68" s="47">
        <f t="shared" si="206"/>
        <v>0</v>
      </c>
      <c r="AG68" s="48"/>
      <c r="AH68" s="47">
        <f t="shared" si="207"/>
        <v>0</v>
      </c>
      <c r="AK68" s="48"/>
      <c r="AL68" s="47">
        <f t="shared" si="208"/>
        <v>0</v>
      </c>
      <c r="AO68" s="48"/>
      <c r="AP68" s="47">
        <f t="shared" si="209"/>
        <v>0</v>
      </c>
      <c r="AS68" s="48"/>
      <c r="AT68" s="47">
        <f t="shared" si="210"/>
        <v>0</v>
      </c>
      <c r="AW68" s="48"/>
      <c r="AX68" s="47">
        <f t="shared" si="277"/>
        <v>0</v>
      </c>
      <c r="AY68" s="6">
        <f t="shared" si="278"/>
        <v>0</v>
      </c>
      <c r="AZ68" s="48">
        <f t="shared" si="279"/>
        <v>0</v>
      </c>
      <c r="BA68" s="7"/>
      <c r="BB68" s="8"/>
      <c r="BC68" s="9"/>
    </row>
    <row r="69" spans="1:55" s="6" customFormat="1" x14ac:dyDescent="0.2">
      <c r="A69" s="104" t="s">
        <v>61</v>
      </c>
      <c r="B69" s="47">
        <f t="shared" si="199"/>
        <v>0</v>
      </c>
      <c r="F69" s="47">
        <f t="shared" si="200"/>
        <v>0</v>
      </c>
      <c r="J69" s="47">
        <f t="shared" si="201"/>
        <v>0</v>
      </c>
      <c r="M69" s="48"/>
      <c r="N69" s="47">
        <f t="shared" si="202"/>
        <v>0</v>
      </c>
      <c r="Q69" s="48"/>
      <c r="R69" s="47">
        <f t="shared" si="203"/>
        <v>0</v>
      </c>
      <c r="U69" s="48"/>
      <c r="V69" s="47">
        <f t="shared" si="204"/>
        <v>0</v>
      </c>
      <c r="Y69" s="48"/>
      <c r="Z69" s="47">
        <f t="shared" si="205"/>
        <v>0</v>
      </c>
      <c r="AC69" s="48"/>
      <c r="AD69" s="47">
        <f t="shared" si="206"/>
        <v>0</v>
      </c>
      <c r="AG69" s="48"/>
      <c r="AH69" s="47">
        <f t="shared" si="207"/>
        <v>0</v>
      </c>
      <c r="AK69" s="48"/>
      <c r="AL69" s="47">
        <f t="shared" si="208"/>
        <v>0</v>
      </c>
      <c r="AO69" s="48"/>
      <c r="AP69" s="47">
        <f t="shared" si="209"/>
        <v>0</v>
      </c>
      <c r="AS69" s="48"/>
      <c r="AT69" s="47">
        <f t="shared" si="210"/>
        <v>0</v>
      </c>
      <c r="AW69" s="48"/>
      <c r="AX69" s="47">
        <f t="shared" si="277"/>
        <v>0</v>
      </c>
      <c r="AY69" s="6">
        <f t="shared" si="278"/>
        <v>0</v>
      </c>
      <c r="AZ69" s="48">
        <f t="shared" si="279"/>
        <v>0</v>
      </c>
      <c r="BA69" s="7"/>
      <c r="BB69" s="8"/>
      <c r="BC69" s="9"/>
    </row>
    <row r="70" spans="1:55" s="6" customFormat="1" x14ac:dyDescent="0.2">
      <c r="A70" s="104" t="s">
        <v>62</v>
      </c>
      <c r="B70" s="47">
        <f t="shared" si="199"/>
        <v>0</v>
      </c>
      <c r="F70" s="47">
        <f t="shared" si="200"/>
        <v>0</v>
      </c>
      <c r="J70" s="47">
        <f t="shared" si="201"/>
        <v>0</v>
      </c>
      <c r="M70" s="48"/>
      <c r="N70" s="47">
        <f t="shared" si="202"/>
        <v>0</v>
      </c>
      <c r="Q70" s="48"/>
      <c r="R70" s="47">
        <f t="shared" si="203"/>
        <v>0</v>
      </c>
      <c r="U70" s="48"/>
      <c r="V70" s="47">
        <f t="shared" si="204"/>
        <v>0</v>
      </c>
      <c r="Y70" s="48"/>
      <c r="Z70" s="47">
        <f t="shared" si="205"/>
        <v>0</v>
      </c>
      <c r="AC70" s="48"/>
      <c r="AD70" s="47">
        <f t="shared" si="206"/>
        <v>0</v>
      </c>
      <c r="AG70" s="48"/>
      <c r="AH70" s="47">
        <f t="shared" si="207"/>
        <v>0</v>
      </c>
      <c r="AK70" s="48"/>
      <c r="AL70" s="47">
        <f t="shared" si="208"/>
        <v>0</v>
      </c>
      <c r="AO70" s="48"/>
      <c r="AP70" s="47">
        <f t="shared" si="209"/>
        <v>0</v>
      </c>
      <c r="AS70" s="48"/>
      <c r="AT70" s="47">
        <f t="shared" si="210"/>
        <v>0</v>
      </c>
      <c r="AW70" s="48"/>
      <c r="AX70" s="47">
        <f t="shared" si="277"/>
        <v>0</v>
      </c>
      <c r="AY70" s="6">
        <f t="shared" si="278"/>
        <v>0</v>
      </c>
      <c r="AZ70" s="48">
        <f t="shared" si="279"/>
        <v>0</v>
      </c>
      <c r="BA70" s="7"/>
      <c r="BB70" s="8"/>
      <c r="BC70" s="9"/>
    </row>
    <row r="71" spans="1:55" s="6" customFormat="1" x14ac:dyDescent="0.2">
      <c r="A71" s="104" t="s">
        <v>63</v>
      </c>
      <c r="B71" s="47">
        <f t="shared" si="199"/>
        <v>0</v>
      </c>
      <c r="F71" s="47">
        <f t="shared" si="200"/>
        <v>0</v>
      </c>
      <c r="J71" s="47">
        <f t="shared" si="201"/>
        <v>0</v>
      </c>
      <c r="M71" s="48"/>
      <c r="N71" s="47">
        <f t="shared" si="202"/>
        <v>0</v>
      </c>
      <c r="Q71" s="48"/>
      <c r="R71" s="47">
        <f t="shared" si="203"/>
        <v>0</v>
      </c>
      <c r="U71" s="48"/>
      <c r="V71" s="47">
        <f t="shared" si="204"/>
        <v>0</v>
      </c>
      <c r="Y71" s="48"/>
      <c r="Z71" s="47">
        <f t="shared" si="205"/>
        <v>0</v>
      </c>
      <c r="AC71" s="48"/>
      <c r="AD71" s="47">
        <f t="shared" si="206"/>
        <v>0</v>
      </c>
      <c r="AG71" s="48"/>
      <c r="AH71" s="47">
        <f t="shared" si="207"/>
        <v>0</v>
      </c>
      <c r="AK71" s="48"/>
      <c r="AL71" s="47">
        <f t="shared" si="208"/>
        <v>0</v>
      </c>
      <c r="AO71" s="48"/>
      <c r="AP71" s="47">
        <f t="shared" si="209"/>
        <v>0</v>
      </c>
      <c r="AS71" s="48"/>
      <c r="AT71" s="47">
        <f t="shared" si="210"/>
        <v>0</v>
      </c>
      <c r="AW71" s="48"/>
      <c r="AX71" s="47">
        <f t="shared" si="277"/>
        <v>0</v>
      </c>
      <c r="AY71" s="6">
        <f t="shared" si="278"/>
        <v>0</v>
      </c>
      <c r="AZ71" s="48">
        <f t="shared" si="279"/>
        <v>0</v>
      </c>
      <c r="BA71" s="7"/>
      <c r="BB71" s="8"/>
      <c r="BC71" s="9"/>
    </row>
    <row r="72" spans="1:55" s="6" customFormat="1" x14ac:dyDescent="0.2">
      <c r="A72" s="104" t="s">
        <v>64</v>
      </c>
      <c r="B72" s="47">
        <f t="shared" si="199"/>
        <v>0</v>
      </c>
      <c r="F72" s="47">
        <f t="shared" si="200"/>
        <v>0</v>
      </c>
      <c r="J72" s="47">
        <f t="shared" si="201"/>
        <v>0</v>
      </c>
      <c r="M72" s="48"/>
      <c r="N72" s="47">
        <f t="shared" si="202"/>
        <v>0</v>
      </c>
      <c r="Q72" s="48"/>
      <c r="R72" s="47">
        <f t="shared" si="203"/>
        <v>0</v>
      </c>
      <c r="U72" s="48"/>
      <c r="V72" s="47">
        <f t="shared" si="204"/>
        <v>0</v>
      </c>
      <c r="Y72" s="48"/>
      <c r="Z72" s="47">
        <f t="shared" si="205"/>
        <v>0</v>
      </c>
      <c r="AC72" s="48"/>
      <c r="AD72" s="47">
        <f t="shared" si="206"/>
        <v>0</v>
      </c>
      <c r="AG72" s="48"/>
      <c r="AH72" s="47">
        <f t="shared" si="207"/>
        <v>0</v>
      </c>
      <c r="AK72" s="48"/>
      <c r="AL72" s="47">
        <f t="shared" si="208"/>
        <v>0</v>
      </c>
      <c r="AO72" s="48"/>
      <c r="AP72" s="47">
        <f t="shared" si="209"/>
        <v>0</v>
      </c>
      <c r="AS72" s="48"/>
      <c r="AT72" s="47">
        <f t="shared" si="210"/>
        <v>0</v>
      </c>
      <c r="AW72" s="48"/>
      <c r="AX72" s="47">
        <f t="shared" si="277"/>
        <v>0</v>
      </c>
      <c r="AY72" s="6">
        <f t="shared" si="278"/>
        <v>0</v>
      </c>
      <c r="AZ72" s="48">
        <f t="shared" si="279"/>
        <v>0</v>
      </c>
      <c r="BA72" s="7"/>
      <c r="BB72" s="8"/>
      <c r="BC72" s="9"/>
    </row>
    <row r="73" spans="1:55" s="6" customFormat="1" x14ac:dyDescent="0.2">
      <c r="A73" s="104" t="s">
        <v>65</v>
      </c>
      <c r="B73" s="47">
        <f t="shared" si="199"/>
        <v>0</v>
      </c>
      <c r="F73" s="47">
        <f t="shared" si="200"/>
        <v>0</v>
      </c>
      <c r="J73" s="47">
        <f t="shared" si="201"/>
        <v>0</v>
      </c>
      <c r="M73" s="48"/>
      <c r="N73" s="47">
        <f t="shared" si="202"/>
        <v>0</v>
      </c>
      <c r="Q73" s="48"/>
      <c r="R73" s="47">
        <f t="shared" si="203"/>
        <v>0</v>
      </c>
      <c r="U73" s="48"/>
      <c r="V73" s="47">
        <f t="shared" si="204"/>
        <v>0</v>
      </c>
      <c r="Y73" s="48"/>
      <c r="Z73" s="47">
        <f t="shared" si="205"/>
        <v>0</v>
      </c>
      <c r="AC73" s="48"/>
      <c r="AD73" s="47">
        <f t="shared" si="206"/>
        <v>0</v>
      </c>
      <c r="AG73" s="48"/>
      <c r="AH73" s="47">
        <f t="shared" si="207"/>
        <v>0</v>
      </c>
      <c r="AK73" s="48"/>
      <c r="AL73" s="47">
        <f t="shared" si="208"/>
        <v>0</v>
      </c>
      <c r="AO73" s="48"/>
      <c r="AP73" s="47">
        <f t="shared" si="209"/>
        <v>0</v>
      </c>
      <c r="AS73" s="48"/>
      <c r="AT73" s="47">
        <f t="shared" si="210"/>
        <v>0</v>
      </c>
      <c r="AW73" s="48"/>
      <c r="AX73" s="47">
        <f t="shared" si="277"/>
        <v>0</v>
      </c>
      <c r="AY73" s="6">
        <f t="shared" si="278"/>
        <v>0</v>
      </c>
      <c r="AZ73" s="48">
        <f t="shared" si="279"/>
        <v>0</v>
      </c>
      <c r="BA73" s="7"/>
      <c r="BB73" s="8"/>
      <c r="BC73" s="9"/>
    </row>
    <row r="74" spans="1:55" s="6" customFormat="1" x14ac:dyDescent="0.2">
      <c r="A74" s="104" t="s">
        <v>66</v>
      </c>
      <c r="B74" s="47">
        <f t="shared" si="199"/>
        <v>163.89</v>
      </c>
      <c r="C74" s="6">
        <v>163.89</v>
      </c>
      <c r="F74" s="47">
        <f t="shared" si="200"/>
        <v>173.96</v>
      </c>
      <c r="G74" s="6">
        <v>173.96</v>
      </c>
      <c r="J74" s="47">
        <f t="shared" si="201"/>
        <v>0</v>
      </c>
      <c r="M74" s="48"/>
      <c r="N74" s="47">
        <f t="shared" si="202"/>
        <v>0</v>
      </c>
      <c r="Q74" s="48"/>
      <c r="R74" s="47">
        <f t="shared" si="203"/>
        <v>0</v>
      </c>
      <c r="U74" s="48"/>
      <c r="V74" s="47">
        <f t="shared" si="204"/>
        <v>0</v>
      </c>
      <c r="Y74" s="48"/>
      <c r="Z74" s="47">
        <f t="shared" si="205"/>
        <v>0</v>
      </c>
      <c r="AC74" s="48"/>
      <c r="AD74" s="47">
        <f t="shared" si="206"/>
        <v>0</v>
      </c>
      <c r="AG74" s="48"/>
      <c r="AH74" s="47">
        <f t="shared" si="207"/>
        <v>0</v>
      </c>
      <c r="AK74" s="48"/>
      <c r="AL74" s="47">
        <f t="shared" si="208"/>
        <v>0</v>
      </c>
      <c r="AO74" s="48"/>
      <c r="AP74" s="47">
        <f t="shared" si="209"/>
        <v>0</v>
      </c>
      <c r="AS74" s="48"/>
      <c r="AT74" s="47">
        <f t="shared" si="210"/>
        <v>0</v>
      </c>
      <c r="AW74" s="48"/>
      <c r="AX74" s="47">
        <f t="shared" si="277"/>
        <v>337.85</v>
      </c>
      <c r="AY74" s="6">
        <f t="shared" si="278"/>
        <v>337.85</v>
      </c>
      <c r="AZ74" s="48">
        <f t="shared" si="279"/>
        <v>0</v>
      </c>
      <c r="BA74" s="7"/>
      <c r="BB74" s="8"/>
      <c r="BC74" s="9"/>
    </row>
    <row r="75" spans="1:55" s="6" customFormat="1" x14ac:dyDescent="0.2">
      <c r="A75" s="104" t="s">
        <v>67</v>
      </c>
      <c r="B75" s="47">
        <f t="shared" si="199"/>
        <v>0</v>
      </c>
      <c r="F75" s="47">
        <f t="shared" si="200"/>
        <v>0</v>
      </c>
      <c r="J75" s="47">
        <f t="shared" si="201"/>
        <v>0</v>
      </c>
      <c r="M75" s="48"/>
      <c r="N75" s="47">
        <f t="shared" si="202"/>
        <v>0</v>
      </c>
      <c r="Q75" s="48"/>
      <c r="R75" s="47">
        <f t="shared" si="203"/>
        <v>0</v>
      </c>
      <c r="U75" s="48"/>
      <c r="V75" s="47">
        <f t="shared" si="204"/>
        <v>0</v>
      </c>
      <c r="Y75" s="48"/>
      <c r="Z75" s="47">
        <f t="shared" si="205"/>
        <v>0</v>
      </c>
      <c r="AC75" s="48"/>
      <c r="AD75" s="47">
        <f t="shared" si="206"/>
        <v>0</v>
      </c>
      <c r="AG75" s="48"/>
      <c r="AH75" s="47">
        <f t="shared" si="207"/>
        <v>0</v>
      </c>
      <c r="AK75" s="48"/>
      <c r="AL75" s="47">
        <f t="shared" si="208"/>
        <v>0</v>
      </c>
      <c r="AO75" s="48"/>
      <c r="AP75" s="47">
        <f t="shared" si="209"/>
        <v>0</v>
      </c>
      <c r="AS75" s="48"/>
      <c r="AT75" s="47">
        <f t="shared" si="210"/>
        <v>0</v>
      </c>
      <c r="AW75" s="48"/>
      <c r="AX75" s="47">
        <f t="shared" si="277"/>
        <v>0</v>
      </c>
      <c r="AY75" s="6">
        <f t="shared" si="278"/>
        <v>0</v>
      </c>
      <c r="AZ75" s="48">
        <f t="shared" si="279"/>
        <v>0</v>
      </c>
      <c r="BA75" s="7"/>
      <c r="BB75" s="8"/>
      <c r="BC75" s="9"/>
    </row>
    <row r="76" spans="1:55" s="6" customFormat="1" x14ac:dyDescent="0.2">
      <c r="A76" s="104" t="s">
        <v>72</v>
      </c>
      <c r="B76" s="47">
        <f t="shared" si="199"/>
        <v>1259.26</v>
      </c>
      <c r="D76" s="6">
        <v>1259.26</v>
      </c>
      <c r="F76" s="47">
        <f t="shared" si="200"/>
        <v>1542.71</v>
      </c>
      <c r="H76" s="6">
        <v>1542.71</v>
      </c>
      <c r="J76" s="47">
        <f t="shared" si="201"/>
        <v>0</v>
      </c>
      <c r="M76" s="48"/>
      <c r="N76" s="47">
        <f t="shared" si="202"/>
        <v>0</v>
      </c>
      <c r="Q76" s="48"/>
      <c r="R76" s="47">
        <f t="shared" si="203"/>
        <v>0</v>
      </c>
      <c r="U76" s="48"/>
      <c r="V76" s="47">
        <f t="shared" si="204"/>
        <v>0</v>
      </c>
      <c r="Y76" s="48"/>
      <c r="Z76" s="47">
        <f t="shared" si="205"/>
        <v>0</v>
      </c>
      <c r="AC76" s="48"/>
      <c r="AD76" s="47">
        <f t="shared" si="206"/>
        <v>0</v>
      </c>
      <c r="AG76" s="48"/>
      <c r="AH76" s="47">
        <f t="shared" si="207"/>
        <v>0</v>
      </c>
      <c r="AK76" s="48"/>
      <c r="AL76" s="47">
        <f t="shared" si="208"/>
        <v>0</v>
      </c>
      <c r="AO76" s="48"/>
      <c r="AP76" s="47">
        <f t="shared" si="209"/>
        <v>0</v>
      </c>
      <c r="AS76" s="48"/>
      <c r="AT76" s="47">
        <f t="shared" si="210"/>
        <v>0</v>
      </c>
      <c r="AW76" s="48"/>
      <c r="AX76" s="47">
        <f t="shared" si="277"/>
        <v>2801.9700000000003</v>
      </c>
      <c r="AY76" s="6">
        <f t="shared" si="278"/>
        <v>0</v>
      </c>
      <c r="AZ76" s="48">
        <f t="shared" si="279"/>
        <v>2801.9700000000003</v>
      </c>
      <c r="BA76" s="7"/>
      <c r="BB76" s="8"/>
      <c r="BC76" s="9"/>
    </row>
    <row r="77" spans="1:55" s="6" customFormat="1" x14ac:dyDescent="0.2">
      <c r="A77" s="104" t="s">
        <v>73</v>
      </c>
      <c r="B77" s="47">
        <f t="shared" si="199"/>
        <v>0</v>
      </c>
      <c r="F77" s="47">
        <f t="shared" si="200"/>
        <v>0</v>
      </c>
      <c r="J77" s="47">
        <f t="shared" si="201"/>
        <v>0</v>
      </c>
      <c r="M77" s="48"/>
      <c r="N77" s="47">
        <f t="shared" si="202"/>
        <v>0</v>
      </c>
      <c r="Q77" s="48"/>
      <c r="R77" s="47">
        <f t="shared" si="203"/>
        <v>0</v>
      </c>
      <c r="U77" s="48"/>
      <c r="V77" s="47">
        <f t="shared" si="204"/>
        <v>0</v>
      </c>
      <c r="Y77" s="48"/>
      <c r="Z77" s="47">
        <f t="shared" si="205"/>
        <v>0</v>
      </c>
      <c r="AC77" s="48"/>
      <c r="AD77" s="47">
        <f t="shared" si="206"/>
        <v>0</v>
      </c>
      <c r="AG77" s="48"/>
      <c r="AH77" s="47">
        <f t="shared" si="207"/>
        <v>0</v>
      </c>
      <c r="AK77" s="48"/>
      <c r="AL77" s="47">
        <f t="shared" si="208"/>
        <v>0</v>
      </c>
      <c r="AO77" s="48"/>
      <c r="AP77" s="47">
        <f t="shared" si="209"/>
        <v>0</v>
      </c>
      <c r="AS77" s="48"/>
      <c r="AT77" s="47">
        <f t="shared" si="210"/>
        <v>0</v>
      </c>
      <c r="AW77" s="48"/>
      <c r="AX77" s="47">
        <f t="shared" si="277"/>
        <v>0</v>
      </c>
      <c r="AY77" s="6">
        <f t="shared" si="278"/>
        <v>0</v>
      </c>
      <c r="AZ77" s="48">
        <f t="shared" si="279"/>
        <v>0</v>
      </c>
      <c r="BA77" s="7"/>
      <c r="BB77" s="8"/>
      <c r="BC77" s="9"/>
    </row>
    <row r="78" spans="1:55" s="6" customFormat="1" x14ac:dyDescent="0.2">
      <c r="A78" s="104" t="s">
        <v>68</v>
      </c>
      <c r="B78" s="47">
        <f t="shared" si="199"/>
        <v>0</v>
      </c>
      <c r="C78" s="6">
        <f t="shared" ref="C78" si="282">E78*$BA78/100</f>
        <v>0</v>
      </c>
      <c r="D78" s="6">
        <f t="shared" ref="D78" si="283">E78*$BB78/100</f>
        <v>0</v>
      </c>
      <c r="F78" s="47">
        <f t="shared" si="200"/>
        <v>0</v>
      </c>
      <c r="G78" s="6">
        <f t="shared" ref="G78" si="284">I78*$BA78/100</f>
        <v>0</v>
      </c>
      <c r="H78" s="6">
        <f t="shared" ref="H78" si="285">I78*$BB78/100</f>
        <v>0</v>
      </c>
      <c r="J78" s="47">
        <f t="shared" si="201"/>
        <v>0</v>
      </c>
      <c r="K78" s="6">
        <f t="shared" ref="K78" si="286">M78*$BA78/100</f>
        <v>0</v>
      </c>
      <c r="L78" s="6">
        <f t="shared" ref="L78" si="287">M78*$BB78/100</f>
        <v>0</v>
      </c>
      <c r="M78" s="48"/>
      <c r="N78" s="47">
        <f t="shared" si="202"/>
        <v>0</v>
      </c>
      <c r="O78" s="6">
        <f t="shared" ref="O78" si="288">Q78*$BA78/100</f>
        <v>0</v>
      </c>
      <c r="P78" s="6">
        <f t="shared" ref="P78" si="289">Q78*$BB78/100</f>
        <v>0</v>
      </c>
      <c r="Q78" s="48"/>
      <c r="R78" s="47">
        <f t="shared" si="203"/>
        <v>0</v>
      </c>
      <c r="S78" s="6">
        <f t="shared" ref="S78" si="290">U78*$BA78/100</f>
        <v>0</v>
      </c>
      <c r="T78" s="6">
        <f t="shared" ref="T78" si="291">U78*$BB78/100</f>
        <v>0</v>
      </c>
      <c r="U78" s="48"/>
      <c r="V78" s="47">
        <f t="shared" si="204"/>
        <v>0</v>
      </c>
      <c r="W78" s="6">
        <f t="shared" ref="W78" si="292">Y78*$BA78/100</f>
        <v>0</v>
      </c>
      <c r="X78" s="6">
        <f t="shared" ref="X78" si="293">Y78*$BB78/100</f>
        <v>0</v>
      </c>
      <c r="Y78" s="48"/>
      <c r="Z78" s="47">
        <f t="shared" si="205"/>
        <v>0</v>
      </c>
      <c r="AA78" s="6">
        <f t="shared" ref="AA78" si="294">AC78*$BA78/100</f>
        <v>0</v>
      </c>
      <c r="AB78" s="6">
        <f t="shared" ref="AB78" si="295">AC78*$BB78/100</f>
        <v>0</v>
      </c>
      <c r="AC78" s="48"/>
      <c r="AD78" s="47">
        <f t="shared" si="206"/>
        <v>0</v>
      </c>
      <c r="AE78" s="6">
        <f t="shared" ref="AE78" si="296">AG78*$BA78/100</f>
        <v>0</v>
      </c>
      <c r="AF78" s="6">
        <f t="shared" ref="AF78" si="297">AG78*$BB78/100</f>
        <v>0</v>
      </c>
      <c r="AG78" s="48"/>
      <c r="AH78" s="47">
        <f t="shared" si="207"/>
        <v>0</v>
      </c>
      <c r="AI78" s="6">
        <f t="shared" ref="AI78" si="298">AK78*$BA78/100</f>
        <v>0</v>
      </c>
      <c r="AJ78" s="6">
        <f t="shared" ref="AJ78" si="299">AK78*$BB78/100</f>
        <v>0</v>
      </c>
      <c r="AK78" s="48"/>
      <c r="AL78" s="47">
        <f t="shared" si="208"/>
        <v>0</v>
      </c>
      <c r="AM78" s="6">
        <f t="shared" ref="AM78" si="300">AO78*$BA78/100</f>
        <v>0</v>
      </c>
      <c r="AN78" s="6">
        <f t="shared" ref="AN78" si="301">AO78*$BB78/100</f>
        <v>0</v>
      </c>
      <c r="AO78" s="48"/>
      <c r="AP78" s="47">
        <f t="shared" si="209"/>
        <v>0</v>
      </c>
      <c r="AQ78" s="6">
        <f t="shared" ref="AQ78" si="302">AS78*$BA78/100</f>
        <v>0</v>
      </c>
      <c r="AR78" s="6">
        <f t="shared" ref="AR78" si="303">AS78*$BB78/100</f>
        <v>0</v>
      </c>
      <c r="AS78" s="48"/>
      <c r="AT78" s="47">
        <f t="shared" si="210"/>
        <v>0</v>
      </c>
      <c r="AU78" s="6">
        <f t="shared" ref="AU78" si="304">AW78*$BA78/100</f>
        <v>0</v>
      </c>
      <c r="AV78" s="6">
        <f t="shared" ref="AV78" si="305">AW78*$BB78/100</f>
        <v>0</v>
      </c>
      <c r="AW78" s="48"/>
      <c r="AX78" s="47">
        <f t="shared" si="277"/>
        <v>0</v>
      </c>
      <c r="AY78" s="6">
        <f t="shared" si="278"/>
        <v>0</v>
      </c>
      <c r="AZ78" s="48">
        <f t="shared" si="279"/>
        <v>0</v>
      </c>
      <c r="BA78" s="7">
        <f>BC$1</f>
        <v>100</v>
      </c>
      <c r="BB78" s="8">
        <f t="shared" ref="BB78" si="306">100-BA78</f>
        <v>0</v>
      </c>
      <c r="BC78" s="9">
        <f t="shared" ref="BC78" si="307">AX78*(BB78/100)</f>
        <v>0</v>
      </c>
    </row>
    <row r="79" spans="1:55" s="6" customFormat="1" x14ac:dyDescent="0.2">
      <c r="A79" s="104" t="s">
        <v>69</v>
      </c>
      <c r="B79" s="47">
        <f t="shared" si="199"/>
        <v>5117.87</v>
      </c>
      <c r="C79" s="6">
        <v>5117.87</v>
      </c>
      <c r="F79" s="47">
        <f t="shared" si="200"/>
        <v>5117.8</v>
      </c>
      <c r="G79" s="6">
        <f>1717.8+3400</f>
        <v>5117.8</v>
      </c>
      <c r="J79" s="47">
        <f t="shared" si="201"/>
        <v>0</v>
      </c>
      <c r="M79" s="48"/>
      <c r="N79" s="47">
        <f t="shared" si="202"/>
        <v>0</v>
      </c>
      <c r="Q79" s="48"/>
      <c r="R79" s="47">
        <f t="shared" si="203"/>
        <v>0</v>
      </c>
      <c r="U79" s="48"/>
      <c r="V79" s="47">
        <f t="shared" si="204"/>
        <v>0</v>
      </c>
      <c r="Y79" s="48"/>
      <c r="Z79" s="47">
        <f t="shared" si="205"/>
        <v>0</v>
      </c>
      <c r="AC79" s="48"/>
      <c r="AD79" s="47">
        <f t="shared" si="206"/>
        <v>0</v>
      </c>
      <c r="AG79" s="48"/>
      <c r="AH79" s="47">
        <f t="shared" si="207"/>
        <v>0</v>
      </c>
      <c r="AK79" s="48"/>
      <c r="AL79" s="47">
        <f t="shared" si="208"/>
        <v>0</v>
      </c>
      <c r="AO79" s="48"/>
      <c r="AP79" s="47">
        <f t="shared" si="209"/>
        <v>0</v>
      </c>
      <c r="AS79" s="48"/>
      <c r="AT79" s="47">
        <f t="shared" si="210"/>
        <v>0</v>
      </c>
      <c r="AW79" s="48"/>
      <c r="AX79" s="47">
        <f t="shared" si="277"/>
        <v>10235.67</v>
      </c>
      <c r="AY79" s="6">
        <f t="shared" si="278"/>
        <v>10235.67</v>
      </c>
      <c r="AZ79" s="48">
        <f t="shared" si="279"/>
        <v>0</v>
      </c>
      <c r="BA79" s="7"/>
      <c r="BB79" s="8"/>
      <c r="BC79" s="9"/>
    </row>
    <row r="80" spans="1:55" s="6" customFormat="1" x14ac:dyDescent="0.2">
      <c r="A80" s="104" t="s">
        <v>70</v>
      </c>
      <c r="B80" s="47">
        <f t="shared" si="199"/>
        <v>0</v>
      </c>
      <c r="F80" s="47">
        <f t="shared" si="200"/>
        <v>0</v>
      </c>
      <c r="J80" s="47">
        <f t="shared" si="201"/>
        <v>0</v>
      </c>
      <c r="M80" s="48"/>
      <c r="N80" s="47">
        <f t="shared" si="202"/>
        <v>0</v>
      </c>
      <c r="Q80" s="48"/>
      <c r="R80" s="47">
        <f t="shared" si="203"/>
        <v>0</v>
      </c>
      <c r="U80" s="48"/>
      <c r="V80" s="47">
        <f t="shared" si="204"/>
        <v>0</v>
      </c>
      <c r="Y80" s="48"/>
      <c r="Z80" s="47">
        <f t="shared" si="205"/>
        <v>0</v>
      </c>
      <c r="AC80" s="48"/>
      <c r="AD80" s="47">
        <f t="shared" si="206"/>
        <v>0</v>
      </c>
      <c r="AG80" s="48"/>
      <c r="AH80" s="47">
        <f t="shared" si="207"/>
        <v>0</v>
      </c>
      <c r="AK80" s="48"/>
      <c r="AL80" s="47">
        <f t="shared" si="208"/>
        <v>0</v>
      </c>
      <c r="AO80" s="48"/>
      <c r="AP80" s="47">
        <f t="shared" si="209"/>
        <v>0</v>
      </c>
      <c r="AS80" s="48"/>
      <c r="AT80" s="47">
        <f t="shared" si="210"/>
        <v>0</v>
      </c>
      <c r="AW80" s="48"/>
      <c r="AX80" s="47">
        <f t="shared" si="277"/>
        <v>0</v>
      </c>
      <c r="AY80" s="6">
        <f t="shared" si="278"/>
        <v>0</v>
      </c>
      <c r="AZ80" s="48">
        <f t="shared" si="279"/>
        <v>0</v>
      </c>
      <c r="BA80" s="7"/>
      <c r="BB80" s="8"/>
      <c r="BC80" s="9"/>
    </row>
    <row r="81" spans="1:55" s="6" customFormat="1" x14ac:dyDescent="0.2">
      <c r="A81" s="104" t="s">
        <v>24</v>
      </c>
      <c r="B81" s="47">
        <f t="shared" si="199"/>
        <v>53.65</v>
      </c>
      <c r="C81" s="6">
        <f>8+12.5+32.9+0.29-0.04</f>
        <v>53.65</v>
      </c>
      <c r="F81" s="47">
        <f t="shared" si="200"/>
        <v>264.06</v>
      </c>
      <c r="G81" s="6">
        <v>264.06</v>
      </c>
      <c r="J81" s="47">
        <f t="shared" si="201"/>
        <v>0</v>
      </c>
      <c r="M81" s="48"/>
      <c r="N81" s="47">
        <f t="shared" si="202"/>
        <v>0</v>
      </c>
      <c r="Q81" s="48"/>
      <c r="R81" s="47">
        <f t="shared" si="203"/>
        <v>0</v>
      </c>
      <c r="U81" s="48"/>
      <c r="V81" s="47">
        <f t="shared" si="204"/>
        <v>0</v>
      </c>
      <c r="Y81" s="48"/>
      <c r="Z81" s="47">
        <f t="shared" si="205"/>
        <v>0</v>
      </c>
      <c r="AC81" s="48"/>
      <c r="AD81" s="47">
        <f t="shared" si="206"/>
        <v>0</v>
      </c>
      <c r="AG81" s="48"/>
      <c r="AH81" s="47">
        <f t="shared" si="207"/>
        <v>0</v>
      </c>
      <c r="AK81" s="48"/>
      <c r="AL81" s="47">
        <f t="shared" si="208"/>
        <v>0</v>
      </c>
      <c r="AO81" s="48"/>
      <c r="AP81" s="47">
        <f t="shared" si="209"/>
        <v>0</v>
      </c>
      <c r="AS81" s="48"/>
      <c r="AT81" s="47">
        <f t="shared" si="210"/>
        <v>0</v>
      </c>
      <c r="AW81" s="48"/>
      <c r="AX81" s="47">
        <f t="shared" si="277"/>
        <v>317.70999999999998</v>
      </c>
      <c r="AY81" s="6">
        <f t="shared" si="278"/>
        <v>317.70999999999998</v>
      </c>
      <c r="AZ81" s="48">
        <f t="shared" si="279"/>
        <v>0</v>
      </c>
      <c r="BA81" s="7"/>
      <c r="BB81" s="8"/>
      <c r="BC81" s="9"/>
    </row>
    <row r="82" spans="1:55" s="145" customFormat="1" ht="30" customHeight="1" thickBot="1" x14ac:dyDescent="0.3">
      <c r="A82" s="105" t="s">
        <v>71</v>
      </c>
      <c r="B82" s="53">
        <f>SUM(B30:B81)</f>
        <v>12718.539999999999</v>
      </c>
      <c r="C82" s="15">
        <f>SUM(C30:C81)</f>
        <v>8824.2799999999988</v>
      </c>
      <c r="D82" s="15">
        <f t="shared" ref="D82" si="308">SUM(D30:D81)</f>
        <v>3894.26</v>
      </c>
      <c r="E82" s="15">
        <f t="shared" ref="E82" si="309">SUM(E30:E81)</f>
        <v>136.94999999999999</v>
      </c>
      <c r="F82" s="53">
        <f>SUM(F30:F81)</f>
        <v>10765.140000000001</v>
      </c>
      <c r="G82" s="15">
        <f t="shared" ref="G82" si="310">SUM(G30:G81)</f>
        <v>7952.4300000000012</v>
      </c>
      <c r="H82" s="15">
        <f t="shared" ref="H82" si="311">SUM(H30:H81)</f>
        <v>2812.71</v>
      </c>
      <c r="I82" s="15">
        <f t="shared" ref="I82" si="312">SUM(I30:I81)</f>
        <v>2584.15</v>
      </c>
      <c r="J82" s="53">
        <f t="shared" ref="J82" si="313">SUM(J30:J81)</f>
        <v>7615</v>
      </c>
      <c r="K82" s="15">
        <f>SUM(K30:K81)</f>
        <v>3885</v>
      </c>
      <c r="L82" s="15">
        <f t="shared" ref="L82" si="314">SUM(L30:L81)</f>
        <v>3730</v>
      </c>
      <c r="M82" s="54">
        <f t="shared" ref="M82" si="315">SUM(M30:M81)</f>
        <v>0</v>
      </c>
      <c r="N82" s="53">
        <f t="shared" ref="N82" si="316">SUM(N30:N81)</f>
        <v>0</v>
      </c>
      <c r="O82" s="15">
        <f t="shared" ref="O82" si="317">SUM(O30:O81)</f>
        <v>0</v>
      </c>
      <c r="P82" s="15">
        <f t="shared" ref="P82" si="318">SUM(P30:P81)</f>
        <v>0</v>
      </c>
      <c r="Q82" s="54">
        <f t="shared" ref="Q82" si="319">SUM(Q30:Q81)</f>
        <v>0</v>
      </c>
      <c r="R82" s="53">
        <f t="shared" ref="R82" si="320">SUM(R30:R81)</f>
        <v>0</v>
      </c>
      <c r="S82" s="15">
        <f t="shared" ref="S82" si="321">SUM(S30:S81)</f>
        <v>0</v>
      </c>
      <c r="T82" s="15">
        <f t="shared" ref="T82" si="322">SUM(T30:T81)</f>
        <v>0</v>
      </c>
      <c r="U82" s="54">
        <f t="shared" ref="U82" si="323">SUM(U30:U81)</f>
        <v>0</v>
      </c>
      <c r="V82" s="53">
        <f t="shared" ref="V82" si="324">SUM(V30:V81)</f>
        <v>0</v>
      </c>
      <c r="W82" s="15">
        <f t="shared" ref="W82" si="325">SUM(W30:W81)</f>
        <v>0</v>
      </c>
      <c r="X82" s="15">
        <f t="shared" ref="X82" si="326">SUM(X30:X81)</f>
        <v>0</v>
      </c>
      <c r="Y82" s="54">
        <f t="shared" ref="Y82" si="327">SUM(Y30:Y81)</f>
        <v>0</v>
      </c>
      <c r="Z82" s="53">
        <f t="shared" ref="Z82" si="328">SUM(Z30:Z81)</f>
        <v>0</v>
      </c>
      <c r="AA82" s="15">
        <f t="shared" ref="AA82" si="329">SUM(AA30:AA81)</f>
        <v>0</v>
      </c>
      <c r="AB82" s="15">
        <f t="shared" ref="AB82" si="330">SUM(AB30:AB81)</f>
        <v>0</v>
      </c>
      <c r="AC82" s="54">
        <f t="shared" ref="AC82" si="331">SUM(AC30:AC81)</f>
        <v>0</v>
      </c>
      <c r="AD82" s="53">
        <f t="shared" ref="AD82" si="332">SUM(AD30:AD81)</f>
        <v>0</v>
      </c>
      <c r="AE82" s="15">
        <f t="shared" ref="AE82" si="333">SUM(AE30:AE81)</f>
        <v>0</v>
      </c>
      <c r="AF82" s="15">
        <f t="shared" ref="AF82" si="334">SUM(AF30:AF81)</f>
        <v>0</v>
      </c>
      <c r="AG82" s="54">
        <f t="shared" ref="AG82" si="335">SUM(AG30:AG81)</f>
        <v>0</v>
      </c>
      <c r="AH82" s="53">
        <f t="shared" ref="AH82" si="336">SUM(AH30:AH81)</f>
        <v>0</v>
      </c>
      <c r="AI82" s="15">
        <f t="shared" ref="AI82" si="337">SUM(AI30:AI81)</f>
        <v>0</v>
      </c>
      <c r="AJ82" s="15">
        <f t="shared" ref="AJ82" si="338">SUM(AJ30:AJ81)</f>
        <v>0</v>
      </c>
      <c r="AK82" s="54">
        <f t="shared" ref="AK82" si="339">SUM(AK30:AK81)</f>
        <v>0</v>
      </c>
      <c r="AL82" s="53">
        <f t="shared" ref="AL82" si="340">SUM(AL30:AL81)</f>
        <v>0</v>
      </c>
      <c r="AM82" s="15">
        <f t="shared" ref="AM82" si="341">SUM(AM30:AM81)</f>
        <v>0</v>
      </c>
      <c r="AN82" s="15">
        <f t="shared" ref="AN82" si="342">SUM(AN30:AN81)</f>
        <v>0</v>
      </c>
      <c r="AO82" s="54">
        <f t="shared" ref="AO82" si="343">SUM(AO30:AO81)</f>
        <v>0</v>
      </c>
      <c r="AP82" s="53">
        <f t="shared" ref="AP82" si="344">SUM(AP30:AP81)</f>
        <v>0</v>
      </c>
      <c r="AQ82" s="15">
        <f t="shared" ref="AQ82" si="345">SUM(AQ30:AQ81)</f>
        <v>0</v>
      </c>
      <c r="AR82" s="15">
        <f t="shared" ref="AR82" si="346">SUM(AR30:AR81)</f>
        <v>0</v>
      </c>
      <c r="AS82" s="54">
        <f t="shared" ref="AS82" si="347">SUM(AS30:AS81)</f>
        <v>0</v>
      </c>
      <c r="AT82" s="53">
        <f t="shared" ref="AT82" si="348">SUM(AT30:AT81)</f>
        <v>0</v>
      </c>
      <c r="AU82" s="15">
        <f t="shared" ref="AU82" si="349">SUM(AU30:AU81)</f>
        <v>0</v>
      </c>
      <c r="AV82" s="15">
        <f t="shared" ref="AV82" si="350">SUM(AV30:AV81)</f>
        <v>0</v>
      </c>
      <c r="AW82" s="54">
        <f t="shared" ref="AW82" si="351">SUM(AW30:AW81)</f>
        <v>0</v>
      </c>
      <c r="AX82" s="53">
        <f t="shared" si="277"/>
        <v>31098.68</v>
      </c>
      <c r="AY82" s="15">
        <f t="shared" si="278"/>
        <v>20661.71</v>
      </c>
      <c r="AZ82" s="54">
        <f t="shared" si="279"/>
        <v>10436.970000000001</v>
      </c>
      <c r="BA82" s="15"/>
      <c r="BB82" s="15"/>
      <c r="BC82" s="15">
        <f>SUM(BC29:BC81)</f>
        <v>0</v>
      </c>
    </row>
    <row r="83" spans="1:55" s="140" customFormat="1" x14ac:dyDescent="0.2">
      <c r="A83" s="102" t="s">
        <v>135</v>
      </c>
      <c r="B83" s="97"/>
      <c r="C83" s="98"/>
      <c r="D83" s="98"/>
      <c r="E83" s="99"/>
      <c r="F83" s="97"/>
      <c r="G83" s="98"/>
      <c r="H83" s="98"/>
      <c r="I83" s="99"/>
      <c r="J83" s="97"/>
      <c r="K83" s="98"/>
      <c r="L83" s="98"/>
      <c r="M83" s="99"/>
      <c r="N83" s="97"/>
      <c r="O83" s="98"/>
      <c r="P83" s="98"/>
      <c r="Q83" s="99"/>
      <c r="R83" s="97"/>
      <c r="S83" s="98"/>
      <c r="T83" s="98"/>
      <c r="U83" s="99"/>
      <c r="V83" s="97"/>
      <c r="W83" s="98"/>
      <c r="X83" s="98"/>
      <c r="Y83" s="99"/>
      <c r="Z83" s="97"/>
      <c r="AA83" s="98"/>
      <c r="AB83" s="98"/>
      <c r="AC83" s="99"/>
      <c r="AD83" s="97"/>
      <c r="AE83" s="98"/>
      <c r="AF83" s="98"/>
      <c r="AG83" s="99"/>
      <c r="AH83" s="97"/>
      <c r="AI83" s="98"/>
      <c r="AJ83" s="98"/>
      <c r="AK83" s="99"/>
      <c r="AL83" s="97"/>
      <c r="AM83" s="98"/>
      <c r="AN83" s="98"/>
      <c r="AO83" s="99"/>
      <c r="AP83" s="97"/>
      <c r="AQ83" s="98"/>
      <c r="AR83" s="98"/>
      <c r="AS83" s="99"/>
      <c r="AT83" s="97"/>
      <c r="AU83" s="98"/>
      <c r="AV83" s="98"/>
      <c r="AW83" s="98"/>
      <c r="AX83" s="97"/>
      <c r="AY83" s="98"/>
      <c r="AZ83" s="99"/>
      <c r="BA83" s="14"/>
      <c r="BB83" s="14"/>
      <c r="BC83" s="14"/>
    </row>
    <row r="84" spans="1:55" s="6" customFormat="1" x14ac:dyDescent="0.2">
      <c r="A84" s="103" t="s">
        <v>136</v>
      </c>
      <c r="B84" s="101">
        <f>Folha!C159</f>
        <v>17525.89</v>
      </c>
      <c r="C84" s="72">
        <f>Folha!C155</f>
        <v>2110.63</v>
      </c>
      <c r="D84" s="72">
        <f>Folha!C157</f>
        <v>15415.260000000002</v>
      </c>
      <c r="E84" s="73"/>
      <c r="F84" s="101">
        <f>Folha!D159</f>
        <v>4927.0599999999995</v>
      </c>
      <c r="G84" s="72">
        <f>Folha!D155</f>
        <v>0</v>
      </c>
      <c r="H84" s="72">
        <f>Folha!D157</f>
        <v>4927.0599999999995</v>
      </c>
      <c r="I84" s="73"/>
      <c r="J84" s="101">
        <f>Folha!E159</f>
        <v>22771.150000000005</v>
      </c>
      <c r="K84" s="72">
        <f>Folha!E155</f>
        <v>1721.63</v>
      </c>
      <c r="L84" s="72">
        <f>Folha!E157</f>
        <v>21049.520000000004</v>
      </c>
      <c r="M84" s="73"/>
      <c r="N84" s="101">
        <f>Folha!F159</f>
        <v>0</v>
      </c>
      <c r="O84" s="72">
        <f>Folha!F155</f>
        <v>0</v>
      </c>
      <c r="P84" s="72">
        <f>Folha!F157</f>
        <v>0</v>
      </c>
      <c r="Q84" s="73"/>
      <c r="R84" s="101">
        <f>Folha!G159</f>
        <v>0</v>
      </c>
      <c r="S84" s="72">
        <f>Folha!G155</f>
        <v>0</v>
      </c>
      <c r="T84" s="72">
        <f>Folha!G157</f>
        <v>0</v>
      </c>
      <c r="U84" s="73"/>
      <c r="V84" s="101">
        <f>Folha!H159</f>
        <v>0</v>
      </c>
      <c r="W84" s="72">
        <f>Folha!H155</f>
        <v>0</v>
      </c>
      <c r="X84" s="72">
        <f>Folha!H157</f>
        <v>0</v>
      </c>
      <c r="Y84" s="73"/>
      <c r="Z84" s="101">
        <f>Folha!I159</f>
        <v>0</v>
      </c>
      <c r="AA84" s="72">
        <f>Folha!I155</f>
        <v>0</v>
      </c>
      <c r="AB84" s="72">
        <f>Folha!I157</f>
        <v>0</v>
      </c>
      <c r="AC84" s="73"/>
      <c r="AD84" s="101">
        <f>Folha!J159</f>
        <v>0</v>
      </c>
      <c r="AE84" s="72">
        <f>Folha!J155</f>
        <v>0</v>
      </c>
      <c r="AF84" s="72">
        <f>Folha!J157</f>
        <v>0</v>
      </c>
      <c r="AG84" s="73"/>
      <c r="AH84" s="101">
        <f>Folha!K159</f>
        <v>0</v>
      </c>
      <c r="AI84" s="72">
        <f>Folha!K155</f>
        <v>0</v>
      </c>
      <c r="AJ84" s="72">
        <f>Folha!K157</f>
        <v>0</v>
      </c>
      <c r="AK84" s="73"/>
      <c r="AL84" s="101">
        <f>Folha!L159</f>
        <v>0</v>
      </c>
      <c r="AM84" s="72">
        <f>Folha!L155</f>
        <v>0</v>
      </c>
      <c r="AN84" s="72">
        <f>Folha!L157</f>
        <v>0</v>
      </c>
      <c r="AO84" s="73"/>
      <c r="AP84" s="101">
        <f>Folha!M159</f>
        <v>0</v>
      </c>
      <c r="AQ84" s="72">
        <f>Folha!M155</f>
        <v>0</v>
      </c>
      <c r="AR84" s="72">
        <f>Folha!M157</f>
        <v>0</v>
      </c>
      <c r="AS84" s="73"/>
      <c r="AT84" s="101">
        <f>Folha!N159</f>
        <v>0</v>
      </c>
      <c r="AU84" s="72">
        <f>Folha!N155</f>
        <v>0</v>
      </c>
      <c r="AV84" s="72">
        <f>Folha!N157</f>
        <v>0</v>
      </c>
      <c r="AW84" s="72"/>
      <c r="AX84" s="101">
        <f t="shared" ref="AX84:AZ89" si="352">B84+F84+J84+N84+R84+V84+Z84+AD84+AH84+AL84+AP84+AT84</f>
        <v>45224.100000000006</v>
      </c>
      <c r="AY84" s="72">
        <f t="shared" si="352"/>
        <v>3832.26</v>
      </c>
      <c r="AZ84" s="73">
        <f t="shared" si="352"/>
        <v>41391.840000000004</v>
      </c>
      <c r="BA84" s="7"/>
      <c r="BB84" s="8"/>
      <c r="BC84" s="9"/>
    </row>
    <row r="85" spans="1:55" s="6" customFormat="1" x14ac:dyDescent="0.2">
      <c r="A85" s="104" t="s">
        <v>77</v>
      </c>
      <c r="B85" s="47">
        <f t="shared" ref="B85:B88" si="353">C85+D85</f>
        <v>1662.1799999999998</v>
      </c>
      <c r="C85" s="6">
        <f t="shared" ref="C85:C88" si="354">E85*$BA85/100</f>
        <v>265.94879999999995</v>
      </c>
      <c r="D85" s="6">
        <f t="shared" ref="D85:D88" si="355">E85*$BB85/100</f>
        <v>1396.2311999999999</v>
      </c>
      <c r="E85" s="48">
        <f>1091.5+570.68</f>
        <v>1662.1799999999998</v>
      </c>
      <c r="F85" s="47">
        <f t="shared" ref="F85:F88" si="356">G85+H85</f>
        <v>622.99</v>
      </c>
      <c r="G85" s="6">
        <f>I85*$BA85/100</f>
        <v>99.678399999999996</v>
      </c>
      <c r="H85" s="6">
        <f t="shared" ref="H85:H88" si="357">I85*$BB85/100</f>
        <v>523.3116</v>
      </c>
      <c r="I85" s="48">
        <v>622.99</v>
      </c>
      <c r="J85" s="47">
        <f t="shared" ref="J85:J88" si="358">K85+L85</f>
        <v>0</v>
      </c>
      <c r="K85" s="6">
        <f>M85*$BA85/100</f>
        <v>0</v>
      </c>
      <c r="L85" s="6">
        <f t="shared" ref="L85:L88" si="359">M85*$BB85/100</f>
        <v>0</v>
      </c>
      <c r="M85" s="48"/>
      <c r="N85" s="47">
        <f t="shared" ref="N85:N88" si="360">O85+P85</f>
        <v>0</v>
      </c>
      <c r="O85" s="6">
        <f>Q85*$BA85/100</f>
        <v>0</v>
      </c>
      <c r="P85" s="6">
        <f t="shared" ref="P85:P88" si="361">Q85*$BB85/100</f>
        <v>0</v>
      </c>
      <c r="Q85" s="48"/>
      <c r="R85" s="47">
        <f t="shared" ref="R85:R88" si="362">S85+T85</f>
        <v>0</v>
      </c>
      <c r="S85" s="6">
        <f>U85*$BA85/100</f>
        <v>0</v>
      </c>
      <c r="T85" s="6">
        <f t="shared" ref="T85:T88" si="363">U85*$BB85/100</f>
        <v>0</v>
      </c>
      <c r="U85" s="48"/>
      <c r="V85" s="47">
        <f t="shared" ref="V85:V88" si="364">W85+X85</f>
        <v>0</v>
      </c>
      <c r="W85" s="6">
        <f>Y85*$BA85/100</f>
        <v>0</v>
      </c>
      <c r="X85" s="6">
        <f t="shared" ref="X85:X88" si="365">Y85*$BB85/100</f>
        <v>0</v>
      </c>
      <c r="Y85" s="48"/>
      <c r="Z85" s="47">
        <f t="shared" ref="Z85:Z88" si="366">AA85+AB85</f>
        <v>0</v>
      </c>
      <c r="AA85" s="6">
        <f>AC85*$BA85/100</f>
        <v>0</v>
      </c>
      <c r="AB85" s="6">
        <f t="shared" ref="AB85:AB88" si="367">AC85*$BB85/100</f>
        <v>0</v>
      </c>
      <c r="AC85" s="48"/>
      <c r="AD85" s="47">
        <f t="shared" ref="AD85:AD88" si="368">AE85+AF85</f>
        <v>0</v>
      </c>
      <c r="AE85" s="6">
        <f>AG85*$BA85/100</f>
        <v>0</v>
      </c>
      <c r="AF85" s="6">
        <f t="shared" ref="AF85:AF88" si="369">AG85*$BB85/100</f>
        <v>0</v>
      </c>
      <c r="AG85" s="48"/>
      <c r="AH85" s="47">
        <f t="shared" ref="AH85:AH88" si="370">AI85+AJ85</f>
        <v>0</v>
      </c>
      <c r="AI85" s="6">
        <f>AK85*$BA85/100</f>
        <v>0</v>
      </c>
      <c r="AJ85" s="6">
        <f t="shared" ref="AJ85:AJ88" si="371">AK85*$BB85/100</f>
        <v>0</v>
      </c>
      <c r="AK85" s="48"/>
      <c r="AL85" s="47">
        <f t="shared" ref="AL85:AL88" si="372">AM85+AN85</f>
        <v>0</v>
      </c>
      <c r="AM85" s="6">
        <f>AO85*$BA85/100</f>
        <v>0</v>
      </c>
      <c r="AN85" s="6">
        <f t="shared" ref="AN85:AN88" si="373">AO85*$BB85/100</f>
        <v>0</v>
      </c>
      <c r="AO85" s="48"/>
      <c r="AP85" s="47">
        <f t="shared" ref="AP85:AP88" si="374">AQ85+AR85</f>
        <v>0</v>
      </c>
      <c r="AQ85" s="6">
        <f>AS85*$BA85/100</f>
        <v>0</v>
      </c>
      <c r="AR85" s="6">
        <f t="shared" ref="AR85:AR88" si="375">AS85*$BB85/100</f>
        <v>0</v>
      </c>
      <c r="AS85" s="48"/>
      <c r="AT85" s="47">
        <f t="shared" ref="AT85:AT88" si="376">AU85+AV85</f>
        <v>0</v>
      </c>
      <c r="AU85" s="6">
        <f>AW85*$BA85/100</f>
        <v>0</v>
      </c>
      <c r="AV85" s="6">
        <f t="shared" ref="AV85:AV88" si="377">AW85*$BB85/100</f>
        <v>0</v>
      </c>
      <c r="AX85" s="47">
        <f t="shared" si="352"/>
        <v>2285.17</v>
      </c>
      <c r="AY85" s="6">
        <f t="shared" si="352"/>
        <v>365.62719999999996</v>
      </c>
      <c r="AZ85" s="48">
        <f t="shared" si="352"/>
        <v>1919.5427999999999</v>
      </c>
      <c r="BA85" s="7">
        <v>16</v>
      </c>
      <c r="BB85" s="8">
        <f t="shared" ref="BB85:BB88" si="378">100-BA85</f>
        <v>84</v>
      </c>
      <c r="BC85" s="9"/>
    </row>
    <row r="86" spans="1:55" s="6" customFormat="1" x14ac:dyDescent="0.2">
      <c r="A86" s="104" t="s">
        <v>78</v>
      </c>
      <c r="B86" s="47">
        <f t="shared" si="353"/>
        <v>6399.42</v>
      </c>
      <c r="C86" s="6">
        <f t="shared" si="354"/>
        <v>1023.9072</v>
      </c>
      <c r="D86" s="6">
        <f t="shared" si="355"/>
        <v>5375.5128000000004</v>
      </c>
      <c r="E86" s="48">
        <f>1266.22+3752.42+1380.78</f>
        <v>6399.42</v>
      </c>
      <c r="F86" s="47">
        <f t="shared" si="356"/>
        <v>1033.8</v>
      </c>
      <c r="G86" s="6">
        <f t="shared" ref="G85:G88" si="379">I86*$BA86/100</f>
        <v>165.40799999999999</v>
      </c>
      <c r="H86" s="6">
        <f t="shared" si="357"/>
        <v>868.39199999999994</v>
      </c>
      <c r="I86" s="48">
        <v>1033.8</v>
      </c>
      <c r="J86" s="47">
        <f t="shared" si="358"/>
        <v>0</v>
      </c>
      <c r="K86" s="6">
        <f t="shared" ref="K86:K88" si="380">M86*$BA86/100</f>
        <v>0</v>
      </c>
      <c r="L86" s="6">
        <f t="shared" si="359"/>
        <v>0</v>
      </c>
      <c r="M86" s="48"/>
      <c r="N86" s="47">
        <f t="shared" si="360"/>
        <v>0</v>
      </c>
      <c r="O86" s="6">
        <f t="shared" ref="O86:O88" si="381">Q86*$BA86/100</f>
        <v>0</v>
      </c>
      <c r="P86" s="6">
        <f t="shared" si="361"/>
        <v>0</v>
      </c>
      <c r="Q86" s="48"/>
      <c r="R86" s="47">
        <f t="shared" si="362"/>
        <v>0</v>
      </c>
      <c r="S86" s="6">
        <f t="shared" ref="S86:S88" si="382">U86*$BA86/100</f>
        <v>0</v>
      </c>
      <c r="T86" s="6">
        <f t="shared" si="363"/>
        <v>0</v>
      </c>
      <c r="U86" s="48"/>
      <c r="V86" s="47">
        <f t="shared" si="364"/>
        <v>0</v>
      </c>
      <c r="W86" s="6">
        <f t="shared" ref="W86:W88" si="383">Y86*$BA86/100</f>
        <v>0</v>
      </c>
      <c r="X86" s="6">
        <f t="shared" si="365"/>
        <v>0</v>
      </c>
      <c r="Y86" s="48"/>
      <c r="Z86" s="47">
        <f t="shared" si="366"/>
        <v>0</v>
      </c>
      <c r="AA86" s="6">
        <f t="shared" ref="AA86:AA88" si="384">AC86*$BA86/100</f>
        <v>0</v>
      </c>
      <c r="AB86" s="6">
        <f t="shared" si="367"/>
        <v>0</v>
      </c>
      <c r="AC86" s="48"/>
      <c r="AD86" s="47">
        <f t="shared" si="368"/>
        <v>0</v>
      </c>
      <c r="AE86" s="6">
        <f t="shared" ref="AE86:AE88" si="385">AG86*$BA86/100</f>
        <v>0</v>
      </c>
      <c r="AF86" s="6">
        <f t="shared" si="369"/>
        <v>0</v>
      </c>
      <c r="AG86" s="48"/>
      <c r="AH86" s="47">
        <f t="shared" si="370"/>
        <v>0</v>
      </c>
      <c r="AI86" s="6">
        <f t="shared" ref="AI86:AI88" si="386">AK86*$BA86/100</f>
        <v>0</v>
      </c>
      <c r="AJ86" s="6">
        <f t="shared" si="371"/>
        <v>0</v>
      </c>
      <c r="AK86" s="48"/>
      <c r="AL86" s="47">
        <f t="shared" si="372"/>
        <v>0</v>
      </c>
      <c r="AM86" s="6">
        <f t="shared" ref="AM86:AM88" si="387">AO86*$BA86/100</f>
        <v>0</v>
      </c>
      <c r="AN86" s="6">
        <f t="shared" si="373"/>
        <v>0</v>
      </c>
      <c r="AO86" s="48"/>
      <c r="AP86" s="47">
        <f t="shared" si="374"/>
        <v>0</v>
      </c>
      <c r="AQ86" s="6">
        <f t="shared" ref="AQ86:AQ88" si="388">AS86*$BA86/100</f>
        <v>0</v>
      </c>
      <c r="AR86" s="6">
        <f t="shared" si="375"/>
        <v>0</v>
      </c>
      <c r="AS86" s="48"/>
      <c r="AT86" s="47">
        <f t="shared" si="376"/>
        <v>0</v>
      </c>
      <c r="AU86" s="6">
        <f t="shared" ref="AU86:AU88" si="389">AW86*$BA86/100</f>
        <v>0</v>
      </c>
      <c r="AV86" s="6">
        <f t="shared" si="377"/>
        <v>0</v>
      </c>
      <c r="AX86" s="47">
        <f t="shared" si="352"/>
        <v>7433.22</v>
      </c>
      <c r="AY86" s="6">
        <f t="shared" si="352"/>
        <v>1189.3152</v>
      </c>
      <c r="AZ86" s="48">
        <f t="shared" si="352"/>
        <v>6243.9048000000003</v>
      </c>
      <c r="BA86" s="7">
        <v>16</v>
      </c>
      <c r="BB86" s="8">
        <f t="shared" si="378"/>
        <v>84</v>
      </c>
      <c r="BC86" s="9"/>
    </row>
    <row r="87" spans="1:55" s="6" customFormat="1" x14ac:dyDescent="0.2">
      <c r="A87" s="104" t="s">
        <v>79</v>
      </c>
      <c r="B87" s="47">
        <f t="shared" si="353"/>
        <v>107.71</v>
      </c>
      <c r="C87" s="6">
        <f t="shared" si="354"/>
        <v>17.233599999999999</v>
      </c>
      <c r="D87" s="6">
        <f t="shared" si="355"/>
        <v>90.476399999999998</v>
      </c>
      <c r="E87" s="48">
        <v>107.71</v>
      </c>
      <c r="F87" s="47">
        <f t="shared" si="356"/>
        <v>0</v>
      </c>
      <c r="G87" s="6">
        <f t="shared" si="379"/>
        <v>0</v>
      </c>
      <c r="H87" s="6">
        <f t="shared" si="357"/>
        <v>0</v>
      </c>
      <c r="I87" s="48"/>
      <c r="J87" s="47">
        <f t="shared" si="358"/>
        <v>0</v>
      </c>
      <c r="K87" s="6">
        <f t="shared" si="380"/>
        <v>0</v>
      </c>
      <c r="L87" s="6">
        <f t="shared" si="359"/>
        <v>0</v>
      </c>
      <c r="M87" s="48"/>
      <c r="N87" s="47">
        <f t="shared" si="360"/>
        <v>0</v>
      </c>
      <c r="O87" s="6">
        <f t="shared" si="381"/>
        <v>0</v>
      </c>
      <c r="P87" s="6">
        <f t="shared" si="361"/>
        <v>0</v>
      </c>
      <c r="Q87" s="48"/>
      <c r="R87" s="47">
        <f t="shared" si="362"/>
        <v>0</v>
      </c>
      <c r="S87" s="6">
        <f t="shared" si="382"/>
        <v>0</v>
      </c>
      <c r="T87" s="6">
        <f t="shared" si="363"/>
        <v>0</v>
      </c>
      <c r="U87" s="48"/>
      <c r="V87" s="47">
        <f t="shared" si="364"/>
        <v>0</v>
      </c>
      <c r="W87" s="6">
        <f t="shared" si="383"/>
        <v>0</v>
      </c>
      <c r="X87" s="6">
        <f t="shared" si="365"/>
        <v>0</v>
      </c>
      <c r="Y87" s="48"/>
      <c r="Z87" s="47">
        <f t="shared" si="366"/>
        <v>0</v>
      </c>
      <c r="AA87" s="6">
        <f t="shared" si="384"/>
        <v>0</v>
      </c>
      <c r="AB87" s="6">
        <f t="shared" si="367"/>
        <v>0</v>
      </c>
      <c r="AC87" s="48"/>
      <c r="AD87" s="47">
        <f t="shared" si="368"/>
        <v>0</v>
      </c>
      <c r="AE87" s="6">
        <f t="shared" si="385"/>
        <v>0</v>
      </c>
      <c r="AF87" s="6">
        <f t="shared" si="369"/>
        <v>0</v>
      </c>
      <c r="AG87" s="48"/>
      <c r="AH87" s="47">
        <f t="shared" si="370"/>
        <v>0</v>
      </c>
      <c r="AI87" s="6">
        <f t="shared" si="386"/>
        <v>0</v>
      </c>
      <c r="AJ87" s="6">
        <f t="shared" si="371"/>
        <v>0</v>
      </c>
      <c r="AK87" s="48"/>
      <c r="AL87" s="47">
        <f t="shared" si="372"/>
        <v>0</v>
      </c>
      <c r="AM87" s="6">
        <f t="shared" si="387"/>
        <v>0</v>
      </c>
      <c r="AN87" s="6">
        <f t="shared" si="373"/>
        <v>0</v>
      </c>
      <c r="AO87" s="48"/>
      <c r="AP87" s="47">
        <f t="shared" si="374"/>
        <v>0</v>
      </c>
      <c r="AQ87" s="6">
        <f t="shared" si="388"/>
        <v>0</v>
      </c>
      <c r="AR87" s="6">
        <f t="shared" si="375"/>
        <v>0</v>
      </c>
      <c r="AS87" s="48"/>
      <c r="AT87" s="47">
        <f t="shared" si="376"/>
        <v>0</v>
      </c>
      <c r="AU87" s="6">
        <f t="shared" si="389"/>
        <v>0</v>
      </c>
      <c r="AV87" s="6">
        <f t="shared" si="377"/>
        <v>0</v>
      </c>
      <c r="AX87" s="47">
        <f t="shared" si="352"/>
        <v>107.71</v>
      </c>
      <c r="AY87" s="6">
        <f t="shared" si="352"/>
        <v>17.233599999999999</v>
      </c>
      <c r="AZ87" s="48">
        <f t="shared" si="352"/>
        <v>90.476399999999998</v>
      </c>
      <c r="BA87" s="7">
        <v>16</v>
      </c>
      <c r="BB87" s="8">
        <f t="shared" si="378"/>
        <v>84</v>
      </c>
      <c r="BC87" s="9"/>
    </row>
    <row r="88" spans="1:55" s="6" customFormat="1" x14ac:dyDescent="0.2">
      <c r="A88" s="104" t="s">
        <v>87</v>
      </c>
      <c r="B88" s="47">
        <f t="shared" si="353"/>
        <v>0</v>
      </c>
      <c r="C88" s="6">
        <f t="shared" si="354"/>
        <v>0</v>
      </c>
      <c r="D88" s="6">
        <f t="shared" si="355"/>
        <v>0</v>
      </c>
      <c r="E88" s="48"/>
      <c r="F88" s="47">
        <f t="shared" si="356"/>
        <v>416.48</v>
      </c>
      <c r="G88" s="6">
        <f t="shared" si="379"/>
        <v>66.636800000000008</v>
      </c>
      <c r="H88" s="6">
        <f t="shared" si="357"/>
        <v>349.84320000000002</v>
      </c>
      <c r="I88" s="48">
        <f>234.13+182.35</f>
        <v>416.48</v>
      </c>
      <c r="J88" s="47">
        <f t="shared" si="358"/>
        <v>0</v>
      </c>
      <c r="K88" s="6">
        <f t="shared" si="380"/>
        <v>0</v>
      </c>
      <c r="L88" s="6">
        <f t="shared" si="359"/>
        <v>0</v>
      </c>
      <c r="M88" s="48"/>
      <c r="N88" s="47">
        <f t="shared" si="360"/>
        <v>0</v>
      </c>
      <c r="O88" s="6">
        <f t="shared" si="381"/>
        <v>0</v>
      </c>
      <c r="P88" s="6">
        <f t="shared" si="361"/>
        <v>0</v>
      </c>
      <c r="Q88" s="48"/>
      <c r="R88" s="47">
        <f t="shared" si="362"/>
        <v>0</v>
      </c>
      <c r="S88" s="6">
        <f t="shared" si="382"/>
        <v>0</v>
      </c>
      <c r="T88" s="6">
        <f t="shared" si="363"/>
        <v>0</v>
      </c>
      <c r="U88" s="48"/>
      <c r="V88" s="47">
        <f t="shared" si="364"/>
        <v>0</v>
      </c>
      <c r="W88" s="6">
        <f t="shared" si="383"/>
        <v>0</v>
      </c>
      <c r="X88" s="6">
        <f t="shared" si="365"/>
        <v>0</v>
      </c>
      <c r="Y88" s="48"/>
      <c r="Z88" s="47">
        <f t="shared" si="366"/>
        <v>0</v>
      </c>
      <c r="AA88" s="6">
        <f t="shared" si="384"/>
        <v>0</v>
      </c>
      <c r="AB88" s="6">
        <f t="shared" si="367"/>
        <v>0</v>
      </c>
      <c r="AC88" s="48"/>
      <c r="AD88" s="47">
        <f t="shared" si="368"/>
        <v>0</v>
      </c>
      <c r="AE88" s="6">
        <f t="shared" si="385"/>
        <v>0</v>
      </c>
      <c r="AF88" s="6">
        <f t="shared" si="369"/>
        <v>0</v>
      </c>
      <c r="AG88" s="48"/>
      <c r="AH88" s="47">
        <f t="shared" si="370"/>
        <v>0</v>
      </c>
      <c r="AI88" s="6">
        <f t="shared" si="386"/>
        <v>0</v>
      </c>
      <c r="AJ88" s="6">
        <f t="shared" si="371"/>
        <v>0</v>
      </c>
      <c r="AK88" s="48"/>
      <c r="AL88" s="47">
        <f t="shared" si="372"/>
        <v>0</v>
      </c>
      <c r="AM88" s="6">
        <f t="shared" si="387"/>
        <v>0</v>
      </c>
      <c r="AN88" s="6">
        <f t="shared" si="373"/>
        <v>0</v>
      </c>
      <c r="AO88" s="48"/>
      <c r="AP88" s="47">
        <f t="shared" si="374"/>
        <v>0</v>
      </c>
      <c r="AQ88" s="6">
        <f t="shared" si="388"/>
        <v>0</v>
      </c>
      <c r="AR88" s="6">
        <f t="shared" si="375"/>
        <v>0</v>
      </c>
      <c r="AS88" s="48"/>
      <c r="AT88" s="47">
        <f t="shared" si="376"/>
        <v>0</v>
      </c>
      <c r="AU88" s="6">
        <f t="shared" si="389"/>
        <v>0</v>
      </c>
      <c r="AV88" s="6">
        <f t="shared" si="377"/>
        <v>0</v>
      </c>
      <c r="AX88" s="47">
        <f t="shared" si="352"/>
        <v>416.48</v>
      </c>
      <c r="AY88" s="6">
        <f t="shared" si="352"/>
        <v>66.636800000000008</v>
      </c>
      <c r="AZ88" s="48">
        <f t="shared" si="352"/>
        <v>349.84320000000002</v>
      </c>
      <c r="BA88" s="7">
        <v>16</v>
      </c>
      <c r="BB88" s="8">
        <f t="shared" si="378"/>
        <v>84</v>
      </c>
      <c r="BC88" s="9"/>
    </row>
    <row r="89" spans="1:55" s="141" customFormat="1" ht="22.9" customHeight="1" thickBot="1" x14ac:dyDescent="0.3">
      <c r="A89" s="105" t="s">
        <v>16</v>
      </c>
      <c r="B89" s="107">
        <f>SUM(B84:B88)</f>
        <v>25695.199999999997</v>
      </c>
      <c r="C89" s="100">
        <f t="shared" ref="C89:D89" si="390">SUM(C84:C88)</f>
        <v>3417.7196000000004</v>
      </c>
      <c r="D89" s="100">
        <f t="shared" si="390"/>
        <v>22277.4804</v>
      </c>
      <c r="E89" s="106">
        <f t="shared" ref="E89" si="391">SUM(E84:E88)</f>
        <v>8169.31</v>
      </c>
      <c r="F89" s="107">
        <f t="shared" ref="F89" si="392">SUM(F84:F88)</f>
        <v>7000.33</v>
      </c>
      <c r="G89" s="100">
        <f t="shared" ref="G89" si="393">SUM(G84:G88)</f>
        <v>331.72319999999996</v>
      </c>
      <c r="H89" s="100">
        <f t="shared" ref="H89" si="394">SUM(H84:H88)</f>
        <v>6668.6067999999996</v>
      </c>
      <c r="I89" s="106">
        <f t="shared" ref="I89" si="395">SUM(I84:I88)</f>
        <v>2073.27</v>
      </c>
      <c r="J89" s="107">
        <f t="shared" ref="J89" si="396">SUM(J84:J88)</f>
        <v>22771.150000000005</v>
      </c>
      <c r="K89" s="100">
        <f>SUM(K84:K88)</f>
        <v>1721.63</v>
      </c>
      <c r="L89" s="100">
        <f t="shared" ref="L89" si="397">SUM(L84:L88)</f>
        <v>21049.520000000004</v>
      </c>
      <c r="M89" s="106">
        <f t="shared" ref="M89" si="398">SUM(M84:M88)</f>
        <v>0</v>
      </c>
      <c r="N89" s="107">
        <f t="shared" ref="N89" si="399">SUM(N84:N88)</f>
        <v>0</v>
      </c>
      <c r="O89" s="100">
        <f t="shared" ref="O89" si="400">SUM(O84:O88)</f>
        <v>0</v>
      </c>
      <c r="P89" s="100">
        <f t="shared" ref="P89" si="401">SUM(P84:P88)</f>
        <v>0</v>
      </c>
      <c r="Q89" s="106">
        <f t="shared" ref="Q89" si="402">SUM(Q84:Q88)</f>
        <v>0</v>
      </c>
      <c r="R89" s="107">
        <f t="shared" ref="R89" si="403">SUM(R84:R88)</f>
        <v>0</v>
      </c>
      <c r="S89" s="100">
        <f t="shared" ref="S89" si="404">SUM(S84:S88)</f>
        <v>0</v>
      </c>
      <c r="T89" s="100">
        <f t="shared" ref="T89" si="405">SUM(T84:T88)</f>
        <v>0</v>
      </c>
      <c r="U89" s="106">
        <f t="shared" ref="U89" si="406">SUM(U84:U88)</f>
        <v>0</v>
      </c>
      <c r="V89" s="107">
        <f t="shared" ref="V89" si="407">SUM(V84:V88)</f>
        <v>0</v>
      </c>
      <c r="W89" s="100">
        <f t="shared" ref="W89" si="408">SUM(W84:W88)</f>
        <v>0</v>
      </c>
      <c r="X89" s="100">
        <f t="shared" ref="X89" si="409">SUM(X84:X88)</f>
        <v>0</v>
      </c>
      <c r="Y89" s="106">
        <f t="shared" ref="Y89" si="410">SUM(Y84:Y88)</f>
        <v>0</v>
      </c>
      <c r="Z89" s="107">
        <f t="shared" ref="Z89" si="411">SUM(Z84:Z88)</f>
        <v>0</v>
      </c>
      <c r="AA89" s="100">
        <f t="shared" ref="AA89" si="412">SUM(AA84:AA88)</f>
        <v>0</v>
      </c>
      <c r="AB89" s="100">
        <f t="shared" ref="AB89" si="413">SUM(AB84:AB88)</f>
        <v>0</v>
      </c>
      <c r="AC89" s="106">
        <f t="shared" ref="AC89" si="414">SUM(AC84:AC88)</f>
        <v>0</v>
      </c>
      <c r="AD89" s="107">
        <f t="shared" ref="AD89" si="415">SUM(AD84:AD88)</f>
        <v>0</v>
      </c>
      <c r="AE89" s="100">
        <f t="shared" ref="AE89" si="416">SUM(AE84:AE88)</f>
        <v>0</v>
      </c>
      <c r="AF89" s="100">
        <f t="shared" ref="AF89" si="417">SUM(AF84:AF88)</f>
        <v>0</v>
      </c>
      <c r="AG89" s="106">
        <f t="shared" ref="AG89" si="418">SUM(AG84:AG88)</f>
        <v>0</v>
      </c>
      <c r="AH89" s="107">
        <f t="shared" ref="AH89" si="419">SUM(AH84:AH88)</f>
        <v>0</v>
      </c>
      <c r="AI89" s="100">
        <f t="shared" ref="AI89" si="420">SUM(AI84:AI88)</f>
        <v>0</v>
      </c>
      <c r="AJ89" s="100">
        <f t="shared" ref="AJ89" si="421">SUM(AJ84:AJ88)</f>
        <v>0</v>
      </c>
      <c r="AK89" s="106">
        <f t="shared" ref="AK89" si="422">SUM(AK84:AK88)</f>
        <v>0</v>
      </c>
      <c r="AL89" s="107">
        <f t="shared" ref="AL89" si="423">SUM(AL84:AL88)</f>
        <v>0</v>
      </c>
      <c r="AM89" s="100">
        <f t="shared" ref="AM89" si="424">SUM(AM84:AM88)</f>
        <v>0</v>
      </c>
      <c r="AN89" s="100">
        <f t="shared" ref="AN89" si="425">SUM(AN84:AN88)</f>
        <v>0</v>
      </c>
      <c r="AO89" s="106">
        <f t="shared" ref="AO89" si="426">SUM(AO84:AO88)</f>
        <v>0</v>
      </c>
      <c r="AP89" s="107">
        <f t="shared" ref="AP89" si="427">SUM(AP84:AP88)</f>
        <v>0</v>
      </c>
      <c r="AQ89" s="100">
        <f t="shared" ref="AQ89" si="428">SUM(AQ84:AQ88)</f>
        <v>0</v>
      </c>
      <c r="AR89" s="100">
        <f t="shared" ref="AR89" si="429">SUM(AR84:AR88)</f>
        <v>0</v>
      </c>
      <c r="AS89" s="106">
        <f t="shared" ref="AS89" si="430">SUM(AS84:AS88)</f>
        <v>0</v>
      </c>
      <c r="AT89" s="107">
        <f t="shared" ref="AT89" si="431">SUM(AT84:AT88)</f>
        <v>0</v>
      </c>
      <c r="AU89" s="100">
        <f t="shared" ref="AU89" si="432">SUM(AU84:AU88)</f>
        <v>0</v>
      </c>
      <c r="AV89" s="100">
        <f t="shared" ref="AV89" si="433">SUM(AV84:AV88)</f>
        <v>0</v>
      </c>
      <c r="AW89" s="100">
        <f t="shared" ref="AW89" si="434">SUM(AW84:AW88)</f>
        <v>0</v>
      </c>
      <c r="AX89" s="107">
        <f t="shared" si="352"/>
        <v>55466.680000000008</v>
      </c>
      <c r="AY89" s="100">
        <f t="shared" si="352"/>
        <v>5471.0727999999999</v>
      </c>
      <c r="AZ89" s="106">
        <f t="shared" si="352"/>
        <v>49995.607200000006</v>
      </c>
      <c r="BA89" s="16"/>
      <c r="BB89" s="16"/>
      <c r="BC89" s="16">
        <f>SUM(BC83:BC88)</f>
        <v>0</v>
      </c>
    </row>
    <row r="90" spans="1:55" s="140" customFormat="1" x14ac:dyDescent="0.2">
      <c r="A90" s="116" t="s">
        <v>101</v>
      </c>
      <c r="B90" s="108"/>
      <c r="C90" s="109"/>
      <c r="D90" s="109"/>
      <c r="E90" s="110"/>
      <c r="F90" s="108"/>
      <c r="G90" s="109"/>
      <c r="H90" s="109"/>
      <c r="I90" s="110"/>
      <c r="J90" s="108"/>
      <c r="K90" s="109"/>
      <c r="L90" s="109"/>
      <c r="M90" s="110"/>
      <c r="N90" s="108"/>
      <c r="O90" s="109"/>
      <c r="P90" s="109"/>
      <c r="Q90" s="110"/>
      <c r="R90" s="108"/>
      <c r="S90" s="109"/>
      <c r="T90" s="109"/>
      <c r="U90" s="110"/>
      <c r="V90" s="108"/>
      <c r="W90" s="109"/>
      <c r="X90" s="109"/>
      <c r="Y90" s="110"/>
      <c r="Z90" s="108"/>
      <c r="AA90" s="109"/>
      <c r="AB90" s="109"/>
      <c r="AC90" s="110"/>
      <c r="AD90" s="108"/>
      <c r="AE90" s="109"/>
      <c r="AF90" s="109"/>
      <c r="AG90" s="110"/>
      <c r="AH90" s="108"/>
      <c r="AI90" s="109"/>
      <c r="AJ90" s="109"/>
      <c r="AK90" s="110"/>
      <c r="AL90" s="108"/>
      <c r="AM90" s="109"/>
      <c r="AN90" s="109"/>
      <c r="AO90" s="110"/>
      <c r="AP90" s="108"/>
      <c r="AQ90" s="109"/>
      <c r="AR90" s="109"/>
      <c r="AS90" s="110"/>
      <c r="AT90" s="108"/>
      <c r="AU90" s="109"/>
      <c r="AV90" s="109"/>
      <c r="AW90" s="110"/>
      <c r="AX90" s="108"/>
      <c r="AY90" s="109"/>
      <c r="AZ90" s="110"/>
      <c r="BA90" s="21"/>
      <c r="BB90" s="21"/>
      <c r="BC90" s="21"/>
    </row>
    <row r="91" spans="1:55" s="6" customFormat="1" x14ac:dyDescent="0.2">
      <c r="A91" s="113" t="s">
        <v>102</v>
      </c>
      <c r="B91" s="45"/>
      <c r="C91" s="4"/>
      <c r="D91" s="4"/>
      <c r="E91" s="46"/>
      <c r="F91" s="45"/>
      <c r="G91" s="4"/>
      <c r="H91" s="4"/>
      <c r="I91" s="46"/>
      <c r="J91" s="45"/>
      <c r="K91" s="4"/>
      <c r="L91" s="4"/>
      <c r="M91" s="46"/>
      <c r="N91" s="45"/>
      <c r="O91" s="4"/>
      <c r="P91" s="4"/>
      <c r="Q91" s="46"/>
      <c r="R91" s="45"/>
      <c r="S91" s="4"/>
      <c r="T91" s="4"/>
      <c r="U91" s="46"/>
      <c r="V91" s="45"/>
      <c r="W91" s="4"/>
      <c r="X91" s="4"/>
      <c r="Y91" s="46"/>
      <c r="Z91" s="45"/>
      <c r="AA91" s="4"/>
      <c r="AB91" s="4"/>
      <c r="AC91" s="46"/>
      <c r="AD91" s="45"/>
      <c r="AE91" s="4"/>
      <c r="AF91" s="4"/>
      <c r="AG91" s="46"/>
      <c r="AH91" s="45"/>
      <c r="AI91" s="4"/>
      <c r="AJ91" s="4"/>
      <c r="AK91" s="46"/>
      <c r="AL91" s="45"/>
      <c r="AM91" s="4"/>
      <c r="AN91" s="4"/>
      <c r="AO91" s="46"/>
      <c r="AP91" s="45"/>
      <c r="AQ91" s="4"/>
      <c r="AR91" s="4"/>
      <c r="AS91" s="46"/>
      <c r="AT91" s="45"/>
      <c r="AU91" s="4"/>
      <c r="AV91" s="4"/>
      <c r="AW91" s="46"/>
      <c r="AX91" s="45">
        <f t="shared" ref="AX91:AX117" si="435">B91+F91+J91+N91+R91+V91+Z91+AD91+AH91+AL91+AP91+AT91</f>
        <v>0</v>
      </c>
      <c r="AY91" s="4">
        <f t="shared" ref="AY91:AY117" si="436">C91+G91+K91+O91+S91+W91+AA91+AE91+AI91+AM91+AQ91+AU91</f>
        <v>0</v>
      </c>
      <c r="AZ91" s="46">
        <f t="shared" ref="AZ91:AZ117" si="437">D91+H91+L91+P91+T91+X91+AB91+AF91+AJ91+AN91+AR91+AV91</f>
        <v>0</v>
      </c>
      <c r="BA91" s="4"/>
      <c r="BB91" s="4"/>
      <c r="BC91" s="4"/>
    </row>
    <row r="92" spans="1:55" s="6" customFormat="1" x14ac:dyDescent="0.2">
      <c r="A92" s="71" t="s">
        <v>103</v>
      </c>
      <c r="B92" s="47">
        <f t="shared" ref="B92:B101" si="438">C92+D92</f>
        <v>0</v>
      </c>
      <c r="E92" s="48"/>
      <c r="F92" s="47">
        <f t="shared" ref="F92:F101" si="439">G92+H92</f>
        <v>0</v>
      </c>
      <c r="I92" s="48"/>
      <c r="J92" s="47">
        <f t="shared" ref="J92:J101" si="440">K92+L92</f>
        <v>0</v>
      </c>
      <c r="M92" s="48"/>
      <c r="N92" s="47">
        <f t="shared" ref="N92:N101" si="441">O92+P92</f>
        <v>0</v>
      </c>
      <c r="Q92" s="48"/>
      <c r="R92" s="47">
        <f t="shared" ref="R92:R101" si="442">S92+T92</f>
        <v>0</v>
      </c>
      <c r="U92" s="48"/>
      <c r="V92" s="47">
        <f t="shared" ref="V92:V101" si="443">W92+X92</f>
        <v>0</v>
      </c>
      <c r="Y92" s="48"/>
      <c r="Z92" s="47">
        <f t="shared" ref="Z92:Z101" si="444">AA92+AB92</f>
        <v>0</v>
      </c>
      <c r="AC92" s="48"/>
      <c r="AD92" s="47">
        <f t="shared" ref="AD92:AD101" si="445">AE92+AF92</f>
        <v>0</v>
      </c>
      <c r="AG92" s="48"/>
      <c r="AH92" s="47">
        <f t="shared" ref="AH92:AH101" si="446">AI92+AJ92</f>
        <v>0</v>
      </c>
      <c r="AK92" s="48"/>
      <c r="AL92" s="47">
        <f t="shared" ref="AL92:AL101" si="447">AM92+AN92</f>
        <v>0</v>
      </c>
      <c r="AO92" s="48"/>
      <c r="AP92" s="47">
        <f t="shared" ref="AP92:AP101" si="448">AQ92+AR92</f>
        <v>0</v>
      </c>
      <c r="AS92" s="48"/>
      <c r="AT92" s="47">
        <f t="shared" ref="AT92:AT101" si="449">AU92+AV92</f>
        <v>0</v>
      </c>
      <c r="AW92" s="48"/>
      <c r="AX92" s="47">
        <f t="shared" si="435"/>
        <v>0</v>
      </c>
      <c r="AY92" s="6">
        <f t="shared" si="436"/>
        <v>0</v>
      </c>
      <c r="AZ92" s="48">
        <f t="shared" si="437"/>
        <v>0</v>
      </c>
      <c r="BA92" s="7"/>
      <c r="BB92" s="8"/>
      <c r="BC92" s="9"/>
    </row>
    <row r="93" spans="1:55" s="6" customFormat="1" x14ac:dyDescent="0.2">
      <c r="A93" s="71" t="s">
        <v>104</v>
      </c>
      <c r="B93" s="47">
        <f t="shared" si="438"/>
        <v>0</v>
      </c>
      <c r="E93" s="48"/>
      <c r="F93" s="47">
        <f t="shared" si="439"/>
        <v>0</v>
      </c>
      <c r="I93" s="48"/>
      <c r="J93" s="47">
        <f t="shared" si="440"/>
        <v>0</v>
      </c>
      <c r="M93" s="48"/>
      <c r="N93" s="47">
        <f t="shared" si="441"/>
        <v>0</v>
      </c>
      <c r="Q93" s="48"/>
      <c r="R93" s="47">
        <f t="shared" si="442"/>
        <v>0</v>
      </c>
      <c r="U93" s="48"/>
      <c r="V93" s="47">
        <f t="shared" si="443"/>
        <v>0</v>
      </c>
      <c r="Y93" s="48"/>
      <c r="Z93" s="47">
        <f t="shared" si="444"/>
        <v>0</v>
      </c>
      <c r="AC93" s="48"/>
      <c r="AD93" s="47">
        <f t="shared" si="445"/>
        <v>0</v>
      </c>
      <c r="AG93" s="48"/>
      <c r="AH93" s="47">
        <f t="shared" si="446"/>
        <v>0</v>
      </c>
      <c r="AK93" s="48"/>
      <c r="AL93" s="47">
        <f t="shared" si="447"/>
        <v>0</v>
      </c>
      <c r="AO93" s="48"/>
      <c r="AP93" s="47">
        <f t="shared" si="448"/>
        <v>0</v>
      </c>
      <c r="AS93" s="48"/>
      <c r="AT93" s="47">
        <f t="shared" si="449"/>
        <v>0</v>
      </c>
      <c r="AW93" s="48"/>
      <c r="AX93" s="47">
        <f t="shared" si="435"/>
        <v>0</v>
      </c>
      <c r="AY93" s="6">
        <f t="shared" si="436"/>
        <v>0</v>
      </c>
      <c r="AZ93" s="48">
        <f t="shared" si="437"/>
        <v>0</v>
      </c>
      <c r="BA93" s="7"/>
      <c r="BB93" s="8"/>
      <c r="BC93" s="9"/>
    </row>
    <row r="94" spans="1:55" s="6" customFormat="1" x14ac:dyDescent="0.2">
      <c r="A94" s="71" t="s">
        <v>105</v>
      </c>
      <c r="B94" s="47">
        <f t="shared" si="438"/>
        <v>0</v>
      </c>
      <c r="E94" s="48"/>
      <c r="F94" s="47">
        <f t="shared" si="439"/>
        <v>0</v>
      </c>
      <c r="I94" s="48"/>
      <c r="J94" s="47">
        <f t="shared" si="440"/>
        <v>0</v>
      </c>
      <c r="M94" s="48"/>
      <c r="N94" s="47">
        <f t="shared" si="441"/>
        <v>0</v>
      </c>
      <c r="Q94" s="48"/>
      <c r="R94" s="47">
        <f t="shared" si="442"/>
        <v>0</v>
      </c>
      <c r="U94" s="48"/>
      <c r="V94" s="47">
        <f t="shared" si="443"/>
        <v>0</v>
      </c>
      <c r="Y94" s="48"/>
      <c r="Z94" s="47">
        <f t="shared" si="444"/>
        <v>0</v>
      </c>
      <c r="AC94" s="48"/>
      <c r="AD94" s="47">
        <f t="shared" si="445"/>
        <v>0</v>
      </c>
      <c r="AG94" s="48"/>
      <c r="AH94" s="47">
        <f t="shared" si="446"/>
        <v>0</v>
      </c>
      <c r="AK94" s="48"/>
      <c r="AL94" s="47">
        <f t="shared" si="447"/>
        <v>0</v>
      </c>
      <c r="AO94" s="48"/>
      <c r="AP94" s="47">
        <f t="shared" si="448"/>
        <v>0</v>
      </c>
      <c r="AS94" s="48"/>
      <c r="AT94" s="47">
        <f t="shared" si="449"/>
        <v>0</v>
      </c>
      <c r="AW94" s="48"/>
      <c r="AX94" s="47">
        <f t="shared" si="435"/>
        <v>0</v>
      </c>
      <c r="AY94" s="6">
        <f t="shared" si="436"/>
        <v>0</v>
      </c>
      <c r="AZ94" s="48">
        <f t="shared" si="437"/>
        <v>0</v>
      </c>
      <c r="BA94" s="7"/>
      <c r="BB94" s="8"/>
      <c r="BC94" s="9"/>
    </row>
    <row r="95" spans="1:55" s="6" customFormat="1" x14ac:dyDescent="0.2">
      <c r="A95" s="71" t="s">
        <v>151</v>
      </c>
      <c r="B95" s="47">
        <f t="shared" si="438"/>
        <v>0</v>
      </c>
      <c r="C95" s="6">
        <f t="shared" ref="C95" si="450">E95*$BA95/100</f>
        <v>0</v>
      </c>
      <c r="D95" s="6">
        <f t="shared" ref="D95" si="451">E95*$BB95/100</f>
        <v>0</v>
      </c>
      <c r="E95" s="48"/>
      <c r="F95" s="47">
        <f t="shared" si="439"/>
        <v>0</v>
      </c>
      <c r="G95" s="6">
        <f t="shared" ref="G95" si="452">I95*$BA95/100</f>
        <v>0</v>
      </c>
      <c r="H95" s="6">
        <f t="shared" ref="H95" si="453">I95*$BB95/100</f>
        <v>0</v>
      </c>
      <c r="I95" s="48"/>
      <c r="J95" s="47">
        <f t="shared" si="440"/>
        <v>0</v>
      </c>
      <c r="K95" s="6">
        <f t="shared" ref="K95" si="454">M95*$BA95/100</f>
        <v>0</v>
      </c>
      <c r="L95" s="6">
        <f t="shared" ref="L95" si="455">M95*$BB95/100</f>
        <v>0</v>
      </c>
      <c r="M95" s="48"/>
      <c r="N95" s="47">
        <f t="shared" si="441"/>
        <v>0</v>
      </c>
      <c r="O95" s="6">
        <f t="shared" ref="O95" si="456">Q95*$BA95/100</f>
        <v>0</v>
      </c>
      <c r="P95" s="6">
        <f t="shared" ref="P95" si="457">Q95*$BB95/100</f>
        <v>0</v>
      </c>
      <c r="Q95" s="48"/>
      <c r="R95" s="47">
        <f t="shared" si="442"/>
        <v>0</v>
      </c>
      <c r="S95" s="6">
        <f t="shared" ref="S95" si="458">U95*$BA95/100</f>
        <v>0</v>
      </c>
      <c r="T95" s="6">
        <f t="shared" ref="T95" si="459">U95*$BB95/100</f>
        <v>0</v>
      </c>
      <c r="U95" s="48"/>
      <c r="V95" s="47">
        <f t="shared" si="443"/>
        <v>0</v>
      </c>
      <c r="W95" s="6">
        <f t="shared" ref="W95" si="460">Y95*$BA95/100</f>
        <v>0</v>
      </c>
      <c r="X95" s="6">
        <f t="shared" ref="X95" si="461">Y95*$BB95/100</f>
        <v>0</v>
      </c>
      <c r="Y95" s="48"/>
      <c r="Z95" s="47">
        <f t="shared" si="444"/>
        <v>0</v>
      </c>
      <c r="AA95" s="6">
        <f t="shared" ref="AA95" si="462">AC95*$BA95/100</f>
        <v>0</v>
      </c>
      <c r="AB95" s="6">
        <f t="shared" ref="AB95" si="463">AC95*$BB95/100</f>
        <v>0</v>
      </c>
      <c r="AC95" s="48"/>
      <c r="AD95" s="47">
        <f t="shared" si="445"/>
        <v>0</v>
      </c>
      <c r="AE95" s="6">
        <f t="shared" ref="AE95" si="464">AG95*$BA95/100</f>
        <v>0</v>
      </c>
      <c r="AF95" s="6">
        <f t="shared" ref="AF95" si="465">AG95*$BB95/100</f>
        <v>0</v>
      </c>
      <c r="AG95" s="48"/>
      <c r="AH95" s="47">
        <f t="shared" si="446"/>
        <v>0</v>
      </c>
      <c r="AI95" s="6">
        <f t="shared" ref="AI95" si="466">AK95*$BA95/100</f>
        <v>0</v>
      </c>
      <c r="AJ95" s="6">
        <f t="shared" ref="AJ95" si="467">AK95*$BB95/100</f>
        <v>0</v>
      </c>
      <c r="AK95" s="48"/>
      <c r="AL95" s="47">
        <f t="shared" si="447"/>
        <v>0</v>
      </c>
      <c r="AM95" s="6">
        <f t="shared" ref="AM95" si="468">AO95*$BA95/100</f>
        <v>0</v>
      </c>
      <c r="AN95" s="6">
        <f t="shared" ref="AN95" si="469">AO95*$BB95/100</f>
        <v>0</v>
      </c>
      <c r="AO95" s="48"/>
      <c r="AP95" s="47">
        <f t="shared" si="448"/>
        <v>0</v>
      </c>
      <c r="AQ95" s="6">
        <f t="shared" ref="AQ95" si="470">AS95*$BA95/100</f>
        <v>0</v>
      </c>
      <c r="AR95" s="6">
        <f t="shared" ref="AR95" si="471">AS95*$BB95/100</f>
        <v>0</v>
      </c>
      <c r="AS95" s="48"/>
      <c r="AT95" s="47">
        <f t="shared" si="449"/>
        <v>0</v>
      </c>
      <c r="AU95" s="6">
        <f t="shared" ref="AU95" si="472">AW95*$BA95/100</f>
        <v>0</v>
      </c>
      <c r="AV95" s="6">
        <f t="shared" ref="AV95" si="473">AW95*$BB95/100</f>
        <v>0</v>
      </c>
      <c r="AW95" s="48"/>
      <c r="AX95" s="47">
        <f t="shared" si="435"/>
        <v>0</v>
      </c>
      <c r="AY95" s="6">
        <f t="shared" si="436"/>
        <v>0</v>
      </c>
      <c r="AZ95" s="48">
        <f t="shared" si="437"/>
        <v>0</v>
      </c>
      <c r="BA95" s="7">
        <f>BC$1</f>
        <v>100</v>
      </c>
      <c r="BB95" s="8">
        <f t="shared" ref="BB95" si="474">100-BA95</f>
        <v>0</v>
      </c>
      <c r="BC95" s="9">
        <f t="shared" ref="BC95" si="475">AX95*(BB95/100)</f>
        <v>0</v>
      </c>
    </row>
    <row r="96" spans="1:55" s="6" customFormat="1" x14ac:dyDescent="0.2">
      <c r="A96" s="71" t="s">
        <v>106</v>
      </c>
      <c r="B96" s="47">
        <f t="shared" si="438"/>
        <v>0</v>
      </c>
      <c r="E96" s="48"/>
      <c r="F96" s="47">
        <f t="shared" si="439"/>
        <v>0</v>
      </c>
      <c r="I96" s="48"/>
      <c r="J96" s="47">
        <f t="shared" si="440"/>
        <v>0</v>
      </c>
      <c r="M96" s="48"/>
      <c r="N96" s="47">
        <f t="shared" si="441"/>
        <v>0</v>
      </c>
      <c r="Q96" s="48"/>
      <c r="R96" s="47">
        <f t="shared" si="442"/>
        <v>0</v>
      </c>
      <c r="U96" s="48"/>
      <c r="V96" s="47">
        <f t="shared" si="443"/>
        <v>0</v>
      </c>
      <c r="Y96" s="48"/>
      <c r="Z96" s="47">
        <f t="shared" si="444"/>
        <v>0</v>
      </c>
      <c r="AC96" s="48"/>
      <c r="AD96" s="47">
        <f t="shared" si="445"/>
        <v>0</v>
      </c>
      <c r="AG96" s="48"/>
      <c r="AH96" s="47">
        <f t="shared" si="446"/>
        <v>0</v>
      </c>
      <c r="AK96" s="48"/>
      <c r="AL96" s="47">
        <f t="shared" si="447"/>
        <v>0</v>
      </c>
      <c r="AO96" s="48"/>
      <c r="AP96" s="47">
        <f t="shared" si="448"/>
        <v>0</v>
      </c>
      <c r="AS96" s="48"/>
      <c r="AT96" s="47">
        <f t="shared" si="449"/>
        <v>0</v>
      </c>
      <c r="AW96" s="48"/>
      <c r="AX96" s="47">
        <f t="shared" si="435"/>
        <v>0</v>
      </c>
      <c r="AY96" s="6">
        <f t="shared" si="436"/>
        <v>0</v>
      </c>
      <c r="AZ96" s="48">
        <f t="shared" si="437"/>
        <v>0</v>
      </c>
      <c r="BA96" s="7"/>
      <c r="BB96" s="8"/>
      <c r="BC96" s="9"/>
    </row>
    <row r="97" spans="1:55" s="6" customFormat="1" x14ac:dyDescent="0.2">
      <c r="A97" s="117" t="s">
        <v>242</v>
      </c>
      <c r="B97" s="47">
        <f t="shared" ref="B97" si="476">C97+D97</f>
        <v>700</v>
      </c>
      <c r="C97" s="6">
        <f t="shared" ref="C97" si="477">E97*$BA97/100</f>
        <v>700</v>
      </c>
      <c r="D97" s="6">
        <f>E97*$BB97/100</f>
        <v>0</v>
      </c>
      <c r="E97" s="48">
        <v>700</v>
      </c>
      <c r="F97" s="47">
        <f t="shared" ref="F97" si="478">G97+H97</f>
        <v>0</v>
      </c>
      <c r="I97" s="48"/>
      <c r="J97" s="47">
        <f t="shared" ref="J97" si="479">K97+L97</f>
        <v>0</v>
      </c>
      <c r="M97" s="48"/>
      <c r="N97" s="47">
        <f t="shared" ref="N97" si="480">O97+P97</f>
        <v>0</v>
      </c>
      <c r="Q97" s="48"/>
      <c r="R97" s="47">
        <f t="shared" ref="R97" si="481">S97+T97</f>
        <v>0</v>
      </c>
      <c r="U97" s="48"/>
      <c r="V97" s="47">
        <f t="shared" ref="V97" si="482">W97+X97</f>
        <v>0</v>
      </c>
      <c r="Y97" s="48"/>
      <c r="Z97" s="47">
        <f t="shared" ref="Z97" si="483">AA97+AB97</f>
        <v>0</v>
      </c>
      <c r="AC97" s="48"/>
      <c r="AD97" s="47">
        <f t="shared" ref="AD97" si="484">AE97+AF97</f>
        <v>0</v>
      </c>
      <c r="AG97" s="48"/>
      <c r="AH97" s="47">
        <f t="shared" ref="AH97" si="485">AI97+AJ97</f>
        <v>0</v>
      </c>
      <c r="AK97" s="48"/>
      <c r="AL97" s="47">
        <f t="shared" ref="AL97" si="486">AM97+AN97</f>
        <v>0</v>
      </c>
      <c r="AO97" s="48"/>
      <c r="AP97" s="47">
        <f t="shared" ref="AP97" si="487">AQ97+AR97</f>
        <v>0</v>
      </c>
      <c r="AS97" s="48"/>
      <c r="AT97" s="47">
        <f t="shared" ref="AT97" si="488">AU97+AV97</f>
        <v>0</v>
      </c>
      <c r="AW97" s="48"/>
      <c r="AX97" s="47">
        <f t="shared" ref="AX97" si="489">B97+F97+J97+N97+R97+V97+Z97+AD97+AH97+AL97+AP97+AT97</f>
        <v>700</v>
      </c>
      <c r="AY97" s="6">
        <f t="shared" ref="AY97" si="490">C97+G97+K97+O97+S97+W97+AA97+AE97+AI97+AM97+AQ97+AU97</f>
        <v>700</v>
      </c>
      <c r="AZ97" s="48">
        <f t="shared" ref="AZ97" si="491">D97+H97+L97+P97+T97+X97+AB97+AF97+AJ97+AN97+AR97+AV97</f>
        <v>0</v>
      </c>
      <c r="BA97" s="7">
        <f>BC$1</f>
        <v>100</v>
      </c>
      <c r="BB97" s="8">
        <f t="shared" ref="BB97" si="492">100-BA97</f>
        <v>0</v>
      </c>
      <c r="BC97" s="9">
        <f t="shared" ref="BC97" si="493">AX97*(BB97/100)</f>
        <v>0</v>
      </c>
    </row>
    <row r="98" spans="1:55" s="6" customFormat="1" x14ac:dyDescent="0.2">
      <c r="A98" s="117" t="s">
        <v>107</v>
      </c>
      <c r="B98" s="47">
        <f t="shared" si="438"/>
        <v>0</v>
      </c>
      <c r="E98" s="48"/>
      <c r="F98" s="47">
        <f t="shared" si="439"/>
        <v>0</v>
      </c>
      <c r="I98" s="48"/>
      <c r="J98" s="47">
        <f t="shared" si="440"/>
        <v>0</v>
      </c>
      <c r="M98" s="48"/>
      <c r="N98" s="47">
        <f t="shared" si="441"/>
        <v>0</v>
      </c>
      <c r="Q98" s="48"/>
      <c r="R98" s="47">
        <f t="shared" si="442"/>
        <v>0</v>
      </c>
      <c r="U98" s="48"/>
      <c r="V98" s="47">
        <f t="shared" si="443"/>
        <v>0</v>
      </c>
      <c r="Y98" s="48"/>
      <c r="Z98" s="47">
        <f t="shared" si="444"/>
        <v>0</v>
      </c>
      <c r="AC98" s="48"/>
      <c r="AD98" s="47">
        <f t="shared" si="445"/>
        <v>0</v>
      </c>
      <c r="AG98" s="48"/>
      <c r="AH98" s="47">
        <f t="shared" si="446"/>
        <v>0</v>
      </c>
      <c r="AK98" s="48"/>
      <c r="AL98" s="47">
        <f t="shared" si="447"/>
        <v>0</v>
      </c>
      <c r="AO98" s="48"/>
      <c r="AP98" s="47">
        <f t="shared" si="448"/>
        <v>0</v>
      </c>
      <c r="AS98" s="48"/>
      <c r="AT98" s="47">
        <f t="shared" si="449"/>
        <v>0</v>
      </c>
      <c r="AW98" s="48"/>
      <c r="AX98" s="47">
        <f t="shared" si="435"/>
        <v>0</v>
      </c>
      <c r="AY98" s="6">
        <f t="shared" si="436"/>
        <v>0</v>
      </c>
      <c r="AZ98" s="48">
        <f t="shared" si="437"/>
        <v>0</v>
      </c>
      <c r="BA98" s="7"/>
      <c r="BB98" s="8"/>
      <c r="BC98" s="9"/>
    </row>
    <row r="99" spans="1:55" s="6" customFormat="1" x14ac:dyDescent="0.2">
      <c r="A99" s="71" t="s">
        <v>108</v>
      </c>
      <c r="B99" s="47">
        <f t="shared" si="438"/>
        <v>0</v>
      </c>
      <c r="C99" s="6">
        <f t="shared" ref="C99" si="494">E99*$BA99/100</f>
        <v>0</v>
      </c>
      <c r="D99" s="6">
        <f t="shared" ref="D99" si="495">E99*$BB99/100</f>
        <v>0</v>
      </c>
      <c r="E99" s="48"/>
      <c r="F99" s="47">
        <f t="shared" si="439"/>
        <v>0</v>
      </c>
      <c r="G99" s="6">
        <f t="shared" ref="G99" si="496">I99*$BA99/100</f>
        <v>0</v>
      </c>
      <c r="H99" s="6">
        <f t="shared" ref="H99" si="497">I99*$BB99/100</f>
        <v>0</v>
      </c>
      <c r="I99" s="48"/>
      <c r="J99" s="47">
        <f t="shared" si="440"/>
        <v>0</v>
      </c>
      <c r="K99" s="6">
        <f t="shared" ref="K99" si="498">M99*$BA99/100</f>
        <v>0</v>
      </c>
      <c r="L99" s="6">
        <f t="shared" ref="L99" si="499">M99*$BB99/100</f>
        <v>0</v>
      </c>
      <c r="M99" s="48"/>
      <c r="N99" s="47">
        <f t="shared" si="441"/>
        <v>0</v>
      </c>
      <c r="O99" s="6">
        <f t="shared" ref="O99" si="500">Q99*$BA99/100</f>
        <v>0</v>
      </c>
      <c r="P99" s="6">
        <f t="shared" ref="P99" si="501">Q99*$BB99/100</f>
        <v>0</v>
      </c>
      <c r="Q99" s="48"/>
      <c r="R99" s="47">
        <f t="shared" si="442"/>
        <v>0</v>
      </c>
      <c r="S99" s="6">
        <f t="shared" ref="S99" si="502">U99*$BA99/100</f>
        <v>0</v>
      </c>
      <c r="T99" s="6">
        <f t="shared" ref="T99" si="503">U99*$BB99/100</f>
        <v>0</v>
      </c>
      <c r="U99" s="48"/>
      <c r="V99" s="47">
        <f t="shared" si="443"/>
        <v>0</v>
      </c>
      <c r="W99" s="6">
        <f t="shared" ref="W99" si="504">Y99*$BA99/100</f>
        <v>0</v>
      </c>
      <c r="X99" s="6">
        <f t="shared" ref="X99" si="505">Y99*$BB99/100</f>
        <v>0</v>
      </c>
      <c r="Y99" s="48"/>
      <c r="Z99" s="47">
        <f t="shared" si="444"/>
        <v>0</v>
      </c>
      <c r="AA99" s="6">
        <f t="shared" ref="AA99" si="506">AC99*$BA99/100</f>
        <v>0</v>
      </c>
      <c r="AB99" s="6">
        <f t="shared" ref="AB99" si="507">AC99*$BB99/100</f>
        <v>0</v>
      </c>
      <c r="AC99" s="48"/>
      <c r="AD99" s="47">
        <f t="shared" si="445"/>
        <v>0</v>
      </c>
      <c r="AE99" s="6">
        <f t="shared" ref="AE99" si="508">AG99*$BA99/100</f>
        <v>0</v>
      </c>
      <c r="AF99" s="6">
        <f t="shared" ref="AF99" si="509">AG99*$BB99/100</f>
        <v>0</v>
      </c>
      <c r="AG99" s="48"/>
      <c r="AH99" s="47">
        <f t="shared" si="446"/>
        <v>0</v>
      </c>
      <c r="AI99" s="6">
        <f t="shared" ref="AI99" si="510">AK99*$BA99/100</f>
        <v>0</v>
      </c>
      <c r="AJ99" s="6">
        <f t="shared" ref="AJ99" si="511">AK99*$BB99/100</f>
        <v>0</v>
      </c>
      <c r="AK99" s="48"/>
      <c r="AL99" s="47">
        <f t="shared" si="447"/>
        <v>0</v>
      </c>
      <c r="AM99" s="6">
        <f t="shared" ref="AM99" si="512">AO99*$BA99/100</f>
        <v>0</v>
      </c>
      <c r="AN99" s="6">
        <f t="shared" ref="AN99" si="513">AO99*$BB99/100</f>
        <v>0</v>
      </c>
      <c r="AO99" s="48"/>
      <c r="AP99" s="47">
        <f t="shared" si="448"/>
        <v>0</v>
      </c>
      <c r="AQ99" s="6">
        <f t="shared" ref="AQ99" si="514">AS99*$BA99/100</f>
        <v>0</v>
      </c>
      <c r="AR99" s="6">
        <f t="shared" ref="AR99" si="515">AS99*$BB99/100</f>
        <v>0</v>
      </c>
      <c r="AS99" s="48"/>
      <c r="AT99" s="47">
        <f t="shared" si="449"/>
        <v>0</v>
      </c>
      <c r="AU99" s="6">
        <f t="shared" ref="AU99" si="516">AW99*$BA99/100</f>
        <v>0</v>
      </c>
      <c r="AV99" s="6">
        <f t="shared" ref="AV99" si="517">AW99*$BB99/100</f>
        <v>0</v>
      </c>
      <c r="AW99" s="48"/>
      <c r="AX99" s="47">
        <f t="shared" si="435"/>
        <v>0</v>
      </c>
      <c r="AY99" s="6">
        <f t="shared" si="436"/>
        <v>0</v>
      </c>
      <c r="AZ99" s="48">
        <f t="shared" si="437"/>
        <v>0</v>
      </c>
      <c r="BA99" s="7">
        <v>80</v>
      </c>
      <c r="BB99" s="8">
        <f t="shared" ref="BB99" si="518">100-BA99</f>
        <v>20</v>
      </c>
      <c r="BC99" s="9">
        <f t="shared" ref="BC99" si="519">AX99*(BB99/100)</f>
        <v>0</v>
      </c>
    </row>
    <row r="100" spans="1:55" s="6" customFormat="1" x14ac:dyDescent="0.2">
      <c r="A100" s="71" t="s">
        <v>109</v>
      </c>
      <c r="B100" s="47">
        <f t="shared" si="438"/>
        <v>0</v>
      </c>
      <c r="E100" s="48"/>
      <c r="F100" s="47">
        <f t="shared" si="439"/>
        <v>0</v>
      </c>
      <c r="I100" s="48"/>
      <c r="J100" s="47">
        <f t="shared" si="440"/>
        <v>0</v>
      </c>
      <c r="M100" s="48"/>
      <c r="N100" s="47">
        <f t="shared" si="441"/>
        <v>0</v>
      </c>
      <c r="Q100" s="48"/>
      <c r="R100" s="47">
        <f t="shared" si="442"/>
        <v>0</v>
      </c>
      <c r="U100" s="48"/>
      <c r="V100" s="47">
        <f t="shared" si="443"/>
        <v>0</v>
      </c>
      <c r="Y100" s="48"/>
      <c r="Z100" s="47">
        <f t="shared" si="444"/>
        <v>0</v>
      </c>
      <c r="AC100" s="48"/>
      <c r="AD100" s="47">
        <f t="shared" si="445"/>
        <v>0</v>
      </c>
      <c r="AG100" s="48"/>
      <c r="AH100" s="47">
        <f t="shared" si="446"/>
        <v>0</v>
      </c>
      <c r="AK100" s="48"/>
      <c r="AL100" s="47">
        <f t="shared" si="447"/>
        <v>0</v>
      </c>
      <c r="AO100" s="48"/>
      <c r="AP100" s="47">
        <f t="shared" si="448"/>
        <v>0</v>
      </c>
      <c r="AS100" s="48"/>
      <c r="AT100" s="47">
        <f t="shared" si="449"/>
        <v>0</v>
      </c>
      <c r="AW100" s="48"/>
      <c r="AX100" s="47">
        <f t="shared" si="435"/>
        <v>0</v>
      </c>
      <c r="AY100" s="6">
        <f t="shared" si="436"/>
        <v>0</v>
      </c>
      <c r="AZ100" s="48">
        <f t="shared" si="437"/>
        <v>0</v>
      </c>
      <c r="BA100" s="10"/>
      <c r="BB100" s="10"/>
      <c r="BC100" s="9"/>
    </row>
    <row r="101" spans="1:55" s="6" customFormat="1" x14ac:dyDescent="0.2">
      <c r="A101" s="71" t="s">
        <v>110</v>
      </c>
      <c r="B101" s="47">
        <f t="shared" si="438"/>
        <v>0</v>
      </c>
      <c r="E101" s="48"/>
      <c r="F101" s="47">
        <f t="shared" si="439"/>
        <v>0</v>
      </c>
      <c r="I101" s="48"/>
      <c r="J101" s="47">
        <f t="shared" si="440"/>
        <v>0</v>
      </c>
      <c r="M101" s="48"/>
      <c r="N101" s="47">
        <f t="shared" si="441"/>
        <v>0</v>
      </c>
      <c r="Q101" s="48"/>
      <c r="R101" s="47">
        <f t="shared" si="442"/>
        <v>0</v>
      </c>
      <c r="U101" s="48"/>
      <c r="V101" s="47">
        <f t="shared" si="443"/>
        <v>0</v>
      </c>
      <c r="Y101" s="48"/>
      <c r="Z101" s="47">
        <f t="shared" si="444"/>
        <v>0</v>
      </c>
      <c r="AC101" s="48"/>
      <c r="AD101" s="47">
        <f t="shared" si="445"/>
        <v>0</v>
      </c>
      <c r="AG101" s="48"/>
      <c r="AH101" s="47">
        <f t="shared" si="446"/>
        <v>0</v>
      </c>
      <c r="AK101" s="48"/>
      <c r="AL101" s="47">
        <f t="shared" si="447"/>
        <v>0</v>
      </c>
      <c r="AO101" s="48"/>
      <c r="AP101" s="47">
        <f t="shared" si="448"/>
        <v>0</v>
      </c>
      <c r="AS101" s="48"/>
      <c r="AT101" s="47">
        <f t="shared" si="449"/>
        <v>0</v>
      </c>
      <c r="AW101" s="48"/>
      <c r="AX101" s="47">
        <f t="shared" si="435"/>
        <v>0</v>
      </c>
      <c r="AY101" s="6">
        <f t="shared" si="436"/>
        <v>0</v>
      </c>
      <c r="AZ101" s="48">
        <f t="shared" si="437"/>
        <v>0</v>
      </c>
      <c r="BA101" s="7"/>
      <c r="BB101" s="8"/>
      <c r="BC101" s="9"/>
    </row>
    <row r="102" spans="1:55" s="145" customFormat="1" ht="24" customHeight="1" thickBot="1" x14ac:dyDescent="0.3">
      <c r="A102" s="89" t="s">
        <v>16</v>
      </c>
      <c r="B102" s="59">
        <f t="shared" ref="B102" si="520">SUM(B92:B101)</f>
        <v>700</v>
      </c>
      <c r="C102" s="23">
        <f t="shared" ref="C102" si="521">SUM(C92:C101)</f>
        <v>700</v>
      </c>
      <c r="D102" s="23">
        <f t="shared" ref="D102" si="522">SUM(D92:D101)</f>
        <v>0</v>
      </c>
      <c r="E102" s="60">
        <f t="shared" ref="E102" si="523">SUM(E92:E101)</f>
        <v>700</v>
      </c>
      <c r="F102" s="59">
        <f t="shared" ref="F102" si="524">SUM(F92:F101)</f>
        <v>0</v>
      </c>
      <c r="G102" s="23">
        <f t="shared" ref="G102" si="525">SUM(G92:G101)</f>
        <v>0</v>
      </c>
      <c r="H102" s="23">
        <f t="shared" ref="H102" si="526">SUM(H92:H101)</f>
        <v>0</v>
      </c>
      <c r="I102" s="60">
        <f t="shared" ref="I102" si="527">SUM(I92:I101)</f>
        <v>0</v>
      </c>
      <c r="J102" s="59">
        <f t="shared" ref="J102" si="528">SUM(J92:J101)</f>
        <v>0</v>
      </c>
      <c r="K102" s="23">
        <f t="shared" ref="K102" si="529">SUM(K92:K101)</f>
        <v>0</v>
      </c>
      <c r="L102" s="23">
        <f t="shared" ref="L102" si="530">SUM(L92:L101)</f>
        <v>0</v>
      </c>
      <c r="M102" s="60">
        <f t="shared" ref="M102" si="531">SUM(M92:M101)</f>
        <v>0</v>
      </c>
      <c r="N102" s="59">
        <f t="shared" ref="N102" si="532">SUM(N92:N101)</f>
        <v>0</v>
      </c>
      <c r="O102" s="23">
        <f t="shared" ref="O102" si="533">SUM(O92:O101)</f>
        <v>0</v>
      </c>
      <c r="P102" s="23">
        <f t="shared" ref="P102" si="534">SUM(P92:P101)</f>
        <v>0</v>
      </c>
      <c r="Q102" s="60">
        <f t="shared" ref="Q102" si="535">SUM(Q92:Q101)</f>
        <v>0</v>
      </c>
      <c r="R102" s="59">
        <f t="shared" ref="R102" si="536">SUM(R92:R101)</f>
        <v>0</v>
      </c>
      <c r="S102" s="23">
        <f t="shared" ref="S102" si="537">SUM(S92:S101)</f>
        <v>0</v>
      </c>
      <c r="T102" s="23">
        <f t="shared" ref="T102" si="538">SUM(T92:T101)</f>
        <v>0</v>
      </c>
      <c r="U102" s="60">
        <f t="shared" ref="U102" si="539">SUM(U92:U101)</f>
        <v>0</v>
      </c>
      <c r="V102" s="59">
        <f t="shared" ref="V102" si="540">SUM(V92:V101)</f>
        <v>0</v>
      </c>
      <c r="W102" s="23">
        <f t="shared" ref="W102" si="541">SUM(W92:W101)</f>
        <v>0</v>
      </c>
      <c r="X102" s="23">
        <f t="shared" ref="X102" si="542">SUM(X92:X101)</f>
        <v>0</v>
      </c>
      <c r="Y102" s="60">
        <f t="shared" ref="Y102" si="543">SUM(Y92:Y101)</f>
        <v>0</v>
      </c>
      <c r="Z102" s="59">
        <f t="shared" ref="Z102" si="544">SUM(Z92:Z101)</f>
        <v>0</v>
      </c>
      <c r="AA102" s="23">
        <f t="shared" ref="AA102" si="545">SUM(AA92:AA101)</f>
        <v>0</v>
      </c>
      <c r="AB102" s="23">
        <f t="shared" ref="AB102" si="546">SUM(AB92:AB101)</f>
        <v>0</v>
      </c>
      <c r="AC102" s="60">
        <f t="shared" ref="AC102" si="547">SUM(AC92:AC101)</f>
        <v>0</v>
      </c>
      <c r="AD102" s="59">
        <f t="shared" ref="AD102" si="548">SUM(AD92:AD101)</f>
        <v>0</v>
      </c>
      <c r="AE102" s="23">
        <f t="shared" ref="AE102" si="549">SUM(AE92:AE101)</f>
        <v>0</v>
      </c>
      <c r="AF102" s="23">
        <f t="shared" ref="AF102" si="550">SUM(AF92:AF101)</f>
        <v>0</v>
      </c>
      <c r="AG102" s="60">
        <f t="shared" ref="AG102" si="551">SUM(AG92:AG101)</f>
        <v>0</v>
      </c>
      <c r="AH102" s="59">
        <f t="shared" ref="AH102" si="552">SUM(AH92:AH101)</f>
        <v>0</v>
      </c>
      <c r="AI102" s="23">
        <f t="shared" ref="AI102" si="553">SUM(AI92:AI101)</f>
        <v>0</v>
      </c>
      <c r="AJ102" s="23">
        <f t="shared" ref="AJ102" si="554">SUM(AJ92:AJ101)</f>
        <v>0</v>
      </c>
      <c r="AK102" s="60">
        <f t="shared" ref="AK102" si="555">SUM(AK92:AK101)</f>
        <v>0</v>
      </c>
      <c r="AL102" s="59">
        <f t="shared" ref="AL102" si="556">SUM(AL92:AL101)</f>
        <v>0</v>
      </c>
      <c r="AM102" s="23">
        <f t="shared" ref="AM102" si="557">SUM(AM92:AM101)</f>
        <v>0</v>
      </c>
      <c r="AN102" s="23">
        <f t="shared" ref="AN102" si="558">SUM(AN92:AN101)</f>
        <v>0</v>
      </c>
      <c r="AO102" s="60">
        <f t="shared" ref="AO102" si="559">SUM(AO92:AO101)</f>
        <v>0</v>
      </c>
      <c r="AP102" s="59">
        <f t="shared" ref="AP102" si="560">SUM(AP92:AP101)</f>
        <v>0</v>
      </c>
      <c r="AQ102" s="23">
        <f t="shared" ref="AQ102" si="561">SUM(AQ92:AQ101)</f>
        <v>0</v>
      </c>
      <c r="AR102" s="23">
        <f t="shared" ref="AR102" si="562">SUM(AR92:AR101)</f>
        <v>0</v>
      </c>
      <c r="AS102" s="60">
        <f t="shared" ref="AS102" si="563">SUM(AS92:AS101)</f>
        <v>0</v>
      </c>
      <c r="AT102" s="59">
        <f t="shared" ref="AT102" si="564">SUM(AT92:AT101)</f>
        <v>0</v>
      </c>
      <c r="AU102" s="23">
        <f t="shared" ref="AU102" si="565">SUM(AU92:AU101)</f>
        <v>0</v>
      </c>
      <c r="AV102" s="23">
        <f t="shared" ref="AV102" si="566">SUM(AV92:AV101)</f>
        <v>0</v>
      </c>
      <c r="AW102" s="60">
        <f t="shared" ref="AW102" si="567">SUM(AW92:AW101)</f>
        <v>0</v>
      </c>
      <c r="AX102" s="59">
        <f t="shared" si="435"/>
        <v>700</v>
      </c>
      <c r="AY102" s="23">
        <f t="shared" si="436"/>
        <v>700</v>
      </c>
      <c r="AZ102" s="60">
        <f t="shared" si="437"/>
        <v>0</v>
      </c>
      <c r="BA102" s="22"/>
      <c r="BB102" s="22"/>
      <c r="BC102" s="22">
        <f>SUM(BC90:BC101)</f>
        <v>0</v>
      </c>
    </row>
    <row r="103" spans="1:55" s="6" customFormat="1" x14ac:dyDescent="0.2">
      <c r="A103" s="113" t="s">
        <v>111</v>
      </c>
      <c r="B103" s="90"/>
      <c r="C103" s="91"/>
      <c r="D103" s="91"/>
      <c r="E103" s="92"/>
      <c r="F103" s="90"/>
      <c r="G103" s="91"/>
      <c r="H103" s="91"/>
      <c r="I103" s="92"/>
      <c r="J103" s="90"/>
      <c r="K103" s="91"/>
      <c r="L103" s="91"/>
      <c r="M103" s="92"/>
      <c r="N103" s="90"/>
      <c r="O103" s="91"/>
      <c r="P103" s="91"/>
      <c r="Q103" s="92"/>
      <c r="R103" s="90"/>
      <c r="S103" s="91"/>
      <c r="T103" s="91"/>
      <c r="U103" s="92"/>
      <c r="V103" s="90"/>
      <c r="W103" s="91"/>
      <c r="X103" s="91"/>
      <c r="Y103" s="92"/>
      <c r="Z103" s="90"/>
      <c r="AA103" s="91"/>
      <c r="AB103" s="91"/>
      <c r="AC103" s="92"/>
      <c r="AD103" s="90"/>
      <c r="AE103" s="91"/>
      <c r="AF103" s="91"/>
      <c r="AG103" s="92"/>
      <c r="AH103" s="90"/>
      <c r="AI103" s="91"/>
      <c r="AJ103" s="91"/>
      <c r="AK103" s="92"/>
      <c r="AL103" s="90"/>
      <c r="AM103" s="91"/>
      <c r="AN103" s="91"/>
      <c r="AO103" s="92"/>
      <c r="AP103" s="90"/>
      <c r="AQ103" s="91"/>
      <c r="AR103" s="91"/>
      <c r="AS103" s="92"/>
      <c r="AT103" s="90"/>
      <c r="AU103" s="91"/>
      <c r="AV103" s="91"/>
      <c r="AW103" s="92"/>
      <c r="AX103" s="90">
        <f t="shared" si="435"/>
        <v>0</v>
      </c>
      <c r="AY103" s="91">
        <f t="shared" si="436"/>
        <v>0</v>
      </c>
      <c r="AZ103" s="92">
        <f t="shared" si="437"/>
        <v>0</v>
      </c>
      <c r="BA103" s="4"/>
      <c r="BB103" s="4"/>
      <c r="BC103" s="4"/>
    </row>
    <row r="104" spans="1:55" s="6" customFormat="1" x14ac:dyDescent="0.2">
      <c r="A104" s="71" t="s">
        <v>112</v>
      </c>
      <c r="B104" s="47">
        <f t="shared" ref="B104:B110" si="568">C104+D104</f>
        <v>0</v>
      </c>
      <c r="C104" s="6">
        <f t="shared" ref="C104:C110" si="569">E104*$BA104/100</f>
        <v>0</v>
      </c>
      <c r="D104" s="6">
        <f t="shared" ref="D104:D110" si="570">E104*$BB104/100</f>
        <v>0</v>
      </c>
      <c r="E104" s="48"/>
      <c r="F104" s="47">
        <f t="shared" ref="F104:F110" si="571">G104+H104</f>
        <v>0</v>
      </c>
      <c r="G104" s="6">
        <f t="shared" ref="G104:G110" si="572">I104*$BA104/100</f>
        <v>0</v>
      </c>
      <c r="H104" s="6">
        <f t="shared" ref="H104:H110" si="573">I104*$BB104/100</f>
        <v>0</v>
      </c>
      <c r="I104" s="48"/>
      <c r="J104" s="47">
        <f t="shared" ref="J104:J110" si="574">K104+L104</f>
        <v>0</v>
      </c>
      <c r="K104" s="6">
        <f t="shared" ref="K104:K110" si="575">M104*$BA104/100</f>
        <v>0</v>
      </c>
      <c r="L104" s="6">
        <f t="shared" ref="L104:L110" si="576">M104*$BB104/100</f>
        <v>0</v>
      </c>
      <c r="M104" s="48"/>
      <c r="N104" s="47">
        <f t="shared" ref="N104:N110" si="577">O104+P104</f>
        <v>0</v>
      </c>
      <c r="O104" s="6">
        <f t="shared" ref="O104:O110" si="578">Q104*$BA104/100</f>
        <v>0</v>
      </c>
      <c r="P104" s="6">
        <f t="shared" ref="P104:P110" si="579">Q104*$BB104/100</f>
        <v>0</v>
      </c>
      <c r="Q104" s="48"/>
      <c r="R104" s="47">
        <f t="shared" ref="R104:R110" si="580">S104+T104</f>
        <v>0</v>
      </c>
      <c r="S104" s="6">
        <f t="shared" ref="S104:S110" si="581">U104*$BA104/100</f>
        <v>0</v>
      </c>
      <c r="T104" s="6">
        <f t="shared" ref="T104:T110" si="582">U104*$BB104/100</f>
        <v>0</v>
      </c>
      <c r="U104" s="48"/>
      <c r="V104" s="47">
        <f t="shared" ref="V104:V110" si="583">W104+X104</f>
        <v>0</v>
      </c>
      <c r="W104" s="6">
        <f t="shared" ref="W104:W110" si="584">Y104*$BA104/100</f>
        <v>0</v>
      </c>
      <c r="X104" s="6">
        <f t="shared" ref="X104:X110" si="585">Y104*$BB104/100</f>
        <v>0</v>
      </c>
      <c r="Y104" s="48"/>
      <c r="Z104" s="47">
        <f t="shared" ref="Z104:Z110" si="586">AA104+AB104</f>
        <v>0</v>
      </c>
      <c r="AA104" s="6">
        <f t="shared" ref="AA104:AA110" si="587">AC104*$BA104/100</f>
        <v>0</v>
      </c>
      <c r="AB104" s="6">
        <f t="shared" ref="AB104:AB110" si="588">AC104*$BB104/100</f>
        <v>0</v>
      </c>
      <c r="AC104" s="48"/>
      <c r="AD104" s="47">
        <f t="shared" ref="AD104:AD110" si="589">AE104+AF104</f>
        <v>0</v>
      </c>
      <c r="AE104" s="6">
        <f t="shared" ref="AE104:AE110" si="590">AG104*$BA104/100</f>
        <v>0</v>
      </c>
      <c r="AF104" s="6">
        <f t="shared" ref="AF104:AF110" si="591">AG104*$BB104/100</f>
        <v>0</v>
      </c>
      <c r="AG104" s="48"/>
      <c r="AH104" s="47">
        <f t="shared" ref="AH104:AH110" si="592">AI104+AJ104</f>
        <v>0</v>
      </c>
      <c r="AI104" s="6">
        <f t="shared" ref="AI104:AI110" si="593">AK104*$BA104/100</f>
        <v>0</v>
      </c>
      <c r="AJ104" s="6">
        <f t="shared" ref="AJ104:AJ110" si="594">AK104*$BB104/100</f>
        <v>0</v>
      </c>
      <c r="AK104" s="48"/>
      <c r="AL104" s="47">
        <f t="shared" ref="AL104:AL110" si="595">AM104+AN104</f>
        <v>0</v>
      </c>
      <c r="AM104" s="6">
        <f t="shared" ref="AM104:AM110" si="596">AO104*$BA104/100</f>
        <v>0</v>
      </c>
      <c r="AN104" s="6">
        <f t="shared" ref="AN104:AN110" si="597">AO104*$BB104/100</f>
        <v>0</v>
      </c>
      <c r="AO104" s="48"/>
      <c r="AP104" s="47">
        <f t="shared" ref="AP104:AP110" si="598">AQ104+AR104</f>
        <v>0</v>
      </c>
      <c r="AQ104" s="6">
        <f t="shared" ref="AQ104:AQ110" si="599">AS104*$BA104/100</f>
        <v>0</v>
      </c>
      <c r="AR104" s="6">
        <f t="shared" ref="AR104:AR110" si="600">AS104*$BB104/100</f>
        <v>0</v>
      </c>
      <c r="AS104" s="48"/>
      <c r="AT104" s="47">
        <f t="shared" ref="AT104:AT110" si="601">AU104+AV104</f>
        <v>0</v>
      </c>
      <c r="AU104" s="6">
        <f t="shared" ref="AU104:AU110" si="602">AW104*$BA104/100</f>
        <v>0</v>
      </c>
      <c r="AV104" s="6">
        <f t="shared" ref="AV104:AV110" si="603">AW104*$BB104/100</f>
        <v>0</v>
      </c>
      <c r="AW104" s="48"/>
      <c r="AX104" s="47">
        <f t="shared" si="435"/>
        <v>0</v>
      </c>
      <c r="AY104" s="6">
        <f t="shared" si="436"/>
        <v>0</v>
      </c>
      <c r="AZ104" s="48">
        <f t="shared" si="437"/>
        <v>0</v>
      </c>
      <c r="BA104" s="7">
        <f>BC$1</f>
        <v>100</v>
      </c>
      <c r="BB104" s="8">
        <f t="shared" ref="BB104:BB110" si="604">100-BA104</f>
        <v>0</v>
      </c>
      <c r="BC104" s="9">
        <f t="shared" ref="BC104:BC110" si="605">AX104*(BB104/100)</f>
        <v>0</v>
      </c>
    </row>
    <row r="105" spans="1:55" s="6" customFormat="1" x14ac:dyDescent="0.2">
      <c r="A105" s="71" t="s">
        <v>113</v>
      </c>
      <c r="B105" s="47">
        <f t="shared" si="568"/>
        <v>0</v>
      </c>
      <c r="C105" s="6">
        <f t="shared" si="569"/>
        <v>0</v>
      </c>
      <c r="D105" s="6">
        <f t="shared" si="570"/>
        <v>0</v>
      </c>
      <c r="E105" s="48"/>
      <c r="F105" s="47">
        <f t="shared" si="571"/>
        <v>0</v>
      </c>
      <c r="G105" s="6">
        <f t="shared" si="572"/>
        <v>0</v>
      </c>
      <c r="H105" s="6">
        <f t="shared" si="573"/>
        <v>0</v>
      </c>
      <c r="I105" s="48"/>
      <c r="J105" s="47">
        <f t="shared" si="574"/>
        <v>0</v>
      </c>
      <c r="K105" s="6">
        <f t="shared" si="575"/>
        <v>0</v>
      </c>
      <c r="L105" s="6">
        <f t="shared" si="576"/>
        <v>0</v>
      </c>
      <c r="M105" s="48"/>
      <c r="N105" s="47">
        <f t="shared" si="577"/>
        <v>0</v>
      </c>
      <c r="O105" s="6">
        <f t="shared" si="578"/>
        <v>0</v>
      </c>
      <c r="P105" s="6">
        <f t="shared" si="579"/>
        <v>0</v>
      </c>
      <c r="Q105" s="48"/>
      <c r="R105" s="47">
        <f t="shared" si="580"/>
        <v>0</v>
      </c>
      <c r="S105" s="6">
        <f t="shared" si="581"/>
        <v>0</v>
      </c>
      <c r="T105" s="6">
        <f t="shared" si="582"/>
        <v>0</v>
      </c>
      <c r="U105" s="48"/>
      <c r="V105" s="47">
        <f t="shared" si="583"/>
        <v>0</v>
      </c>
      <c r="W105" s="6">
        <f t="shared" si="584"/>
        <v>0</v>
      </c>
      <c r="X105" s="6">
        <f t="shared" si="585"/>
        <v>0</v>
      </c>
      <c r="Y105" s="48"/>
      <c r="Z105" s="47">
        <f t="shared" si="586"/>
        <v>0</v>
      </c>
      <c r="AA105" s="6">
        <f t="shared" si="587"/>
        <v>0</v>
      </c>
      <c r="AB105" s="6">
        <f t="shared" si="588"/>
        <v>0</v>
      </c>
      <c r="AC105" s="48"/>
      <c r="AD105" s="47">
        <f t="shared" si="589"/>
        <v>0</v>
      </c>
      <c r="AE105" s="6">
        <f t="shared" si="590"/>
        <v>0</v>
      </c>
      <c r="AF105" s="6">
        <f t="shared" si="591"/>
        <v>0</v>
      </c>
      <c r="AG105" s="48"/>
      <c r="AH105" s="47">
        <f t="shared" si="592"/>
        <v>0</v>
      </c>
      <c r="AI105" s="6">
        <f t="shared" si="593"/>
        <v>0</v>
      </c>
      <c r="AJ105" s="6">
        <f t="shared" si="594"/>
        <v>0</v>
      </c>
      <c r="AK105" s="48"/>
      <c r="AL105" s="47">
        <f t="shared" si="595"/>
        <v>0</v>
      </c>
      <c r="AM105" s="6">
        <f t="shared" si="596"/>
        <v>0</v>
      </c>
      <c r="AN105" s="6">
        <f t="shared" si="597"/>
        <v>0</v>
      </c>
      <c r="AO105" s="48"/>
      <c r="AP105" s="47">
        <f t="shared" si="598"/>
        <v>0</v>
      </c>
      <c r="AQ105" s="6">
        <f t="shared" si="599"/>
        <v>0</v>
      </c>
      <c r="AR105" s="6">
        <f t="shared" si="600"/>
        <v>0</v>
      </c>
      <c r="AS105" s="48"/>
      <c r="AT105" s="47">
        <f t="shared" si="601"/>
        <v>0</v>
      </c>
      <c r="AU105" s="6">
        <f t="shared" si="602"/>
        <v>0</v>
      </c>
      <c r="AV105" s="6">
        <f t="shared" si="603"/>
        <v>0</v>
      </c>
      <c r="AW105" s="48"/>
      <c r="AX105" s="47">
        <f t="shared" si="435"/>
        <v>0</v>
      </c>
      <c r="AY105" s="6">
        <f t="shared" si="436"/>
        <v>0</v>
      </c>
      <c r="AZ105" s="48">
        <f t="shared" si="437"/>
        <v>0</v>
      </c>
      <c r="BA105" s="7">
        <v>100</v>
      </c>
      <c r="BB105" s="8">
        <f t="shared" si="604"/>
        <v>0</v>
      </c>
      <c r="BC105" s="9"/>
    </row>
    <row r="106" spans="1:55" s="6" customFormat="1" x14ac:dyDescent="0.2">
      <c r="A106" s="71" t="s">
        <v>114</v>
      </c>
      <c r="B106" s="47">
        <f t="shared" si="568"/>
        <v>0</v>
      </c>
      <c r="C106" s="6">
        <f t="shared" si="569"/>
        <v>0</v>
      </c>
      <c r="D106" s="6">
        <f t="shared" si="570"/>
        <v>0</v>
      </c>
      <c r="E106" s="48"/>
      <c r="F106" s="47">
        <f t="shared" si="571"/>
        <v>0</v>
      </c>
      <c r="G106" s="6">
        <f t="shared" si="572"/>
        <v>0</v>
      </c>
      <c r="H106" s="6">
        <f t="shared" si="573"/>
        <v>0</v>
      </c>
      <c r="I106" s="48"/>
      <c r="J106" s="47">
        <f t="shared" si="574"/>
        <v>0</v>
      </c>
      <c r="K106" s="6">
        <f t="shared" si="575"/>
        <v>0</v>
      </c>
      <c r="L106" s="6">
        <f t="shared" si="576"/>
        <v>0</v>
      </c>
      <c r="M106" s="48"/>
      <c r="N106" s="47">
        <f t="shared" si="577"/>
        <v>0</v>
      </c>
      <c r="O106" s="6">
        <f t="shared" si="578"/>
        <v>0</v>
      </c>
      <c r="P106" s="6">
        <f t="shared" si="579"/>
        <v>0</v>
      </c>
      <c r="Q106" s="48"/>
      <c r="R106" s="47">
        <f t="shared" si="580"/>
        <v>0</v>
      </c>
      <c r="S106" s="6">
        <f t="shared" si="581"/>
        <v>0</v>
      </c>
      <c r="T106" s="6">
        <f t="shared" si="582"/>
        <v>0</v>
      </c>
      <c r="U106" s="48"/>
      <c r="V106" s="47">
        <f t="shared" si="583"/>
        <v>0</v>
      </c>
      <c r="W106" s="6">
        <f t="shared" si="584"/>
        <v>0</v>
      </c>
      <c r="X106" s="6">
        <f t="shared" si="585"/>
        <v>0</v>
      </c>
      <c r="Y106" s="48"/>
      <c r="Z106" s="47">
        <f t="shared" si="586"/>
        <v>0</v>
      </c>
      <c r="AA106" s="6">
        <f t="shared" si="587"/>
        <v>0</v>
      </c>
      <c r="AB106" s="6">
        <f t="shared" si="588"/>
        <v>0</v>
      </c>
      <c r="AC106" s="48"/>
      <c r="AD106" s="47">
        <f t="shared" si="589"/>
        <v>0</v>
      </c>
      <c r="AE106" s="6">
        <f t="shared" si="590"/>
        <v>0</v>
      </c>
      <c r="AF106" s="6">
        <f t="shared" si="591"/>
        <v>0</v>
      </c>
      <c r="AG106" s="48"/>
      <c r="AH106" s="47">
        <f t="shared" si="592"/>
        <v>0</v>
      </c>
      <c r="AI106" s="6">
        <f t="shared" si="593"/>
        <v>0</v>
      </c>
      <c r="AJ106" s="6">
        <f t="shared" si="594"/>
        <v>0</v>
      </c>
      <c r="AK106" s="48"/>
      <c r="AL106" s="47">
        <f t="shared" si="595"/>
        <v>0</v>
      </c>
      <c r="AM106" s="6">
        <f t="shared" si="596"/>
        <v>0</v>
      </c>
      <c r="AN106" s="6">
        <f t="shared" si="597"/>
        <v>0</v>
      </c>
      <c r="AO106" s="48"/>
      <c r="AP106" s="47">
        <f t="shared" si="598"/>
        <v>0</v>
      </c>
      <c r="AQ106" s="6">
        <f t="shared" si="599"/>
        <v>0</v>
      </c>
      <c r="AR106" s="6">
        <f t="shared" si="600"/>
        <v>0</v>
      </c>
      <c r="AS106" s="48"/>
      <c r="AT106" s="47">
        <f t="shared" si="601"/>
        <v>0</v>
      </c>
      <c r="AU106" s="6">
        <f t="shared" si="602"/>
        <v>0</v>
      </c>
      <c r="AV106" s="6">
        <f t="shared" si="603"/>
        <v>0</v>
      </c>
      <c r="AW106" s="48"/>
      <c r="AX106" s="47">
        <f t="shared" si="435"/>
        <v>0</v>
      </c>
      <c r="AY106" s="6">
        <f t="shared" si="436"/>
        <v>0</v>
      </c>
      <c r="AZ106" s="48">
        <f t="shared" si="437"/>
        <v>0</v>
      </c>
      <c r="BA106" s="7">
        <v>100</v>
      </c>
      <c r="BB106" s="8">
        <f t="shared" si="604"/>
        <v>0</v>
      </c>
      <c r="BC106" s="9"/>
    </row>
    <row r="107" spans="1:55" s="6" customFormat="1" x14ac:dyDescent="0.2">
      <c r="A107" s="71" t="s">
        <v>115</v>
      </c>
      <c r="B107" s="47">
        <f t="shared" si="568"/>
        <v>0</v>
      </c>
      <c r="C107" s="6">
        <f t="shared" si="569"/>
        <v>0</v>
      </c>
      <c r="D107" s="6">
        <f t="shared" si="570"/>
        <v>0</v>
      </c>
      <c r="E107" s="48"/>
      <c r="F107" s="47">
        <f t="shared" si="571"/>
        <v>0</v>
      </c>
      <c r="G107" s="6">
        <f t="shared" si="572"/>
        <v>0</v>
      </c>
      <c r="H107" s="6">
        <f t="shared" si="573"/>
        <v>0</v>
      </c>
      <c r="I107" s="48"/>
      <c r="J107" s="47">
        <f t="shared" si="574"/>
        <v>0</v>
      </c>
      <c r="K107" s="6">
        <f t="shared" si="575"/>
        <v>0</v>
      </c>
      <c r="L107" s="6">
        <f t="shared" si="576"/>
        <v>0</v>
      </c>
      <c r="M107" s="48"/>
      <c r="N107" s="47">
        <f t="shared" si="577"/>
        <v>0</v>
      </c>
      <c r="O107" s="6">
        <f t="shared" si="578"/>
        <v>0</v>
      </c>
      <c r="P107" s="6">
        <f t="shared" si="579"/>
        <v>0</v>
      </c>
      <c r="Q107" s="48"/>
      <c r="R107" s="47">
        <f t="shared" si="580"/>
        <v>0</v>
      </c>
      <c r="S107" s="6">
        <f t="shared" si="581"/>
        <v>0</v>
      </c>
      <c r="T107" s="6">
        <f t="shared" si="582"/>
        <v>0</v>
      </c>
      <c r="U107" s="48"/>
      <c r="V107" s="47">
        <f t="shared" si="583"/>
        <v>0</v>
      </c>
      <c r="W107" s="6">
        <f t="shared" si="584"/>
        <v>0</v>
      </c>
      <c r="X107" s="6">
        <f t="shared" si="585"/>
        <v>0</v>
      </c>
      <c r="Y107" s="48"/>
      <c r="Z107" s="47">
        <f t="shared" si="586"/>
        <v>0</v>
      </c>
      <c r="AA107" s="6">
        <f t="shared" si="587"/>
        <v>0</v>
      </c>
      <c r="AB107" s="6">
        <f t="shared" si="588"/>
        <v>0</v>
      </c>
      <c r="AC107" s="48"/>
      <c r="AD107" s="47">
        <f t="shared" si="589"/>
        <v>0</v>
      </c>
      <c r="AE107" s="6">
        <f t="shared" si="590"/>
        <v>0</v>
      </c>
      <c r="AF107" s="6">
        <f t="shared" si="591"/>
        <v>0</v>
      </c>
      <c r="AG107" s="48"/>
      <c r="AH107" s="47">
        <f t="shared" si="592"/>
        <v>0</v>
      </c>
      <c r="AI107" s="6">
        <f t="shared" si="593"/>
        <v>0</v>
      </c>
      <c r="AJ107" s="6">
        <f t="shared" si="594"/>
        <v>0</v>
      </c>
      <c r="AK107" s="48"/>
      <c r="AL107" s="47">
        <f t="shared" si="595"/>
        <v>0</v>
      </c>
      <c r="AM107" s="6">
        <f t="shared" si="596"/>
        <v>0</v>
      </c>
      <c r="AN107" s="6">
        <f t="shared" si="597"/>
        <v>0</v>
      </c>
      <c r="AO107" s="48"/>
      <c r="AP107" s="47">
        <f t="shared" si="598"/>
        <v>0</v>
      </c>
      <c r="AQ107" s="6">
        <f t="shared" si="599"/>
        <v>0</v>
      </c>
      <c r="AR107" s="6">
        <f t="shared" si="600"/>
        <v>0</v>
      </c>
      <c r="AS107" s="48"/>
      <c r="AT107" s="47">
        <f t="shared" si="601"/>
        <v>0</v>
      </c>
      <c r="AU107" s="6">
        <f t="shared" si="602"/>
        <v>0</v>
      </c>
      <c r="AV107" s="6">
        <f t="shared" si="603"/>
        <v>0</v>
      </c>
      <c r="AW107" s="48"/>
      <c r="AX107" s="47">
        <f t="shared" si="435"/>
        <v>0</v>
      </c>
      <c r="AY107" s="6">
        <f t="shared" si="436"/>
        <v>0</v>
      </c>
      <c r="AZ107" s="48">
        <f t="shared" si="437"/>
        <v>0</v>
      </c>
      <c r="BA107" s="7">
        <v>100</v>
      </c>
      <c r="BB107" s="8">
        <f t="shared" si="604"/>
        <v>0</v>
      </c>
      <c r="BC107" s="9"/>
    </row>
    <row r="108" spans="1:55" s="6" customFormat="1" x14ac:dyDescent="0.2">
      <c r="A108" s="71" t="s">
        <v>116</v>
      </c>
      <c r="B108" s="47">
        <f t="shared" si="568"/>
        <v>0</v>
      </c>
      <c r="C108" s="6">
        <f t="shared" si="569"/>
        <v>0</v>
      </c>
      <c r="D108" s="6">
        <f t="shared" si="570"/>
        <v>0</v>
      </c>
      <c r="E108" s="48"/>
      <c r="F108" s="47">
        <f t="shared" si="571"/>
        <v>0</v>
      </c>
      <c r="G108" s="6">
        <f t="shared" si="572"/>
        <v>0</v>
      </c>
      <c r="H108" s="6">
        <f t="shared" si="573"/>
        <v>0</v>
      </c>
      <c r="I108" s="48"/>
      <c r="J108" s="47">
        <f t="shared" si="574"/>
        <v>0</v>
      </c>
      <c r="K108" s="6">
        <f t="shared" si="575"/>
        <v>0</v>
      </c>
      <c r="L108" s="6">
        <f t="shared" si="576"/>
        <v>0</v>
      </c>
      <c r="M108" s="48"/>
      <c r="N108" s="47">
        <f t="shared" si="577"/>
        <v>0</v>
      </c>
      <c r="O108" s="6">
        <f t="shared" si="578"/>
        <v>0</v>
      </c>
      <c r="P108" s="6">
        <f t="shared" si="579"/>
        <v>0</v>
      </c>
      <c r="Q108" s="48"/>
      <c r="R108" s="47">
        <f t="shared" si="580"/>
        <v>0</v>
      </c>
      <c r="S108" s="6">
        <f t="shared" si="581"/>
        <v>0</v>
      </c>
      <c r="T108" s="6">
        <f t="shared" si="582"/>
        <v>0</v>
      </c>
      <c r="U108" s="48"/>
      <c r="V108" s="47">
        <f t="shared" si="583"/>
        <v>0</v>
      </c>
      <c r="W108" s="6">
        <f t="shared" si="584"/>
        <v>0</v>
      </c>
      <c r="X108" s="6">
        <f t="shared" si="585"/>
        <v>0</v>
      </c>
      <c r="Y108" s="48"/>
      <c r="Z108" s="47">
        <f t="shared" si="586"/>
        <v>0</v>
      </c>
      <c r="AA108" s="6">
        <f t="shared" si="587"/>
        <v>0</v>
      </c>
      <c r="AB108" s="6">
        <f t="shared" si="588"/>
        <v>0</v>
      </c>
      <c r="AC108" s="48"/>
      <c r="AD108" s="47">
        <f t="shared" si="589"/>
        <v>0</v>
      </c>
      <c r="AE108" s="6">
        <f t="shared" si="590"/>
        <v>0</v>
      </c>
      <c r="AF108" s="6">
        <f t="shared" si="591"/>
        <v>0</v>
      </c>
      <c r="AG108" s="48"/>
      <c r="AH108" s="47">
        <f t="shared" si="592"/>
        <v>0</v>
      </c>
      <c r="AI108" s="6">
        <f t="shared" si="593"/>
        <v>0</v>
      </c>
      <c r="AJ108" s="6">
        <f t="shared" si="594"/>
        <v>0</v>
      </c>
      <c r="AK108" s="48"/>
      <c r="AL108" s="47">
        <f t="shared" si="595"/>
        <v>0</v>
      </c>
      <c r="AM108" s="6">
        <f t="shared" si="596"/>
        <v>0</v>
      </c>
      <c r="AN108" s="6">
        <f t="shared" si="597"/>
        <v>0</v>
      </c>
      <c r="AO108" s="48"/>
      <c r="AP108" s="47">
        <f t="shared" si="598"/>
        <v>0</v>
      </c>
      <c r="AQ108" s="6">
        <f t="shared" si="599"/>
        <v>0</v>
      </c>
      <c r="AR108" s="6">
        <f t="shared" si="600"/>
        <v>0</v>
      </c>
      <c r="AS108" s="48"/>
      <c r="AT108" s="47">
        <f t="shared" si="601"/>
        <v>0</v>
      </c>
      <c r="AU108" s="6">
        <f t="shared" si="602"/>
        <v>0</v>
      </c>
      <c r="AV108" s="6">
        <f t="shared" si="603"/>
        <v>0</v>
      </c>
      <c r="AW108" s="48"/>
      <c r="AX108" s="47">
        <f t="shared" si="435"/>
        <v>0</v>
      </c>
      <c r="AY108" s="6">
        <f t="shared" si="436"/>
        <v>0</v>
      </c>
      <c r="AZ108" s="48">
        <f t="shared" si="437"/>
        <v>0</v>
      </c>
      <c r="BA108" s="7">
        <v>100</v>
      </c>
      <c r="BB108" s="8">
        <f t="shared" si="604"/>
        <v>0</v>
      </c>
      <c r="BC108" s="9"/>
    </row>
    <row r="109" spans="1:55" s="6" customFormat="1" x14ac:dyDescent="0.2">
      <c r="A109" s="71" t="s">
        <v>313</v>
      </c>
      <c r="B109" s="47">
        <f t="shared" si="568"/>
        <v>7355.0499999999993</v>
      </c>
      <c r="C109" s="6">
        <f t="shared" si="569"/>
        <v>2647.8179999999998</v>
      </c>
      <c r="D109" s="6">
        <f t="shared" si="570"/>
        <v>4707.232</v>
      </c>
      <c r="E109" s="48">
        <f>1444.83+4879.59+1030.63</f>
        <v>7355.05</v>
      </c>
      <c r="F109" s="47">
        <f t="shared" si="571"/>
        <v>2157.6999999999998</v>
      </c>
      <c r="G109" s="6">
        <f t="shared" si="572"/>
        <v>776.77199999999993</v>
      </c>
      <c r="H109" s="6">
        <f t="shared" si="573"/>
        <v>1380.9279999999999</v>
      </c>
      <c r="I109" s="48">
        <v>2157.6999999999998</v>
      </c>
      <c r="J109" s="47">
        <f t="shared" si="574"/>
        <v>0</v>
      </c>
      <c r="K109" s="6">
        <f t="shared" si="575"/>
        <v>0</v>
      </c>
      <c r="L109" s="6">
        <f t="shared" si="576"/>
        <v>0</v>
      </c>
      <c r="M109" s="48"/>
      <c r="N109" s="47">
        <f t="shared" si="577"/>
        <v>0</v>
      </c>
      <c r="O109" s="6">
        <f t="shared" si="578"/>
        <v>0</v>
      </c>
      <c r="P109" s="6">
        <f t="shared" si="579"/>
        <v>0</v>
      </c>
      <c r="Q109" s="48"/>
      <c r="R109" s="47">
        <f t="shared" si="580"/>
        <v>0</v>
      </c>
      <c r="S109" s="6">
        <f t="shared" si="581"/>
        <v>0</v>
      </c>
      <c r="T109" s="6">
        <f t="shared" si="582"/>
        <v>0</v>
      </c>
      <c r="U109" s="48"/>
      <c r="V109" s="47">
        <f t="shared" si="583"/>
        <v>0</v>
      </c>
      <c r="W109" s="6">
        <f t="shared" si="584"/>
        <v>0</v>
      </c>
      <c r="X109" s="6">
        <f t="shared" si="585"/>
        <v>0</v>
      </c>
      <c r="Y109" s="48"/>
      <c r="Z109" s="47">
        <f t="shared" si="586"/>
        <v>0</v>
      </c>
      <c r="AA109" s="6">
        <f t="shared" si="587"/>
        <v>0</v>
      </c>
      <c r="AB109" s="6">
        <f t="shared" si="588"/>
        <v>0</v>
      </c>
      <c r="AC109" s="48"/>
      <c r="AD109" s="47">
        <f t="shared" si="589"/>
        <v>0</v>
      </c>
      <c r="AE109" s="6">
        <f t="shared" si="590"/>
        <v>0</v>
      </c>
      <c r="AF109" s="6">
        <f t="shared" si="591"/>
        <v>0</v>
      </c>
      <c r="AG109" s="48"/>
      <c r="AH109" s="47">
        <f t="shared" si="592"/>
        <v>0</v>
      </c>
      <c r="AI109" s="6">
        <f t="shared" si="593"/>
        <v>0</v>
      </c>
      <c r="AJ109" s="6">
        <f t="shared" si="594"/>
        <v>0</v>
      </c>
      <c r="AK109" s="48"/>
      <c r="AL109" s="47">
        <f t="shared" si="595"/>
        <v>0</v>
      </c>
      <c r="AM109" s="6">
        <f t="shared" si="596"/>
        <v>0</v>
      </c>
      <c r="AN109" s="6">
        <f t="shared" si="597"/>
        <v>0</v>
      </c>
      <c r="AO109" s="48"/>
      <c r="AP109" s="47">
        <f t="shared" si="598"/>
        <v>0</v>
      </c>
      <c r="AQ109" s="6">
        <f t="shared" si="599"/>
        <v>0</v>
      </c>
      <c r="AR109" s="6">
        <f t="shared" si="600"/>
        <v>0</v>
      </c>
      <c r="AS109" s="48"/>
      <c r="AT109" s="47">
        <f t="shared" si="601"/>
        <v>0</v>
      </c>
      <c r="AU109" s="6">
        <f t="shared" si="602"/>
        <v>0</v>
      </c>
      <c r="AV109" s="6">
        <f t="shared" si="603"/>
        <v>0</v>
      </c>
      <c r="AW109" s="48"/>
      <c r="AX109" s="47">
        <f t="shared" si="435"/>
        <v>9512.75</v>
      </c>
      <c r="AY109" s="6">
        <f t="shared" si="436"/>
        <v>3424.5899999999997</v>
      </c>
      <c r="AZ109" s="48">
        <f t="shared" si="437"/>
        <v>6088.16</v>
      </c>
      <c r="BA109" s="7">
        <v>36</v>
      </c>
      <c r="BB109" s="8">
        <f t="shared" si="604"/>
        <v>64</v>
      </c>
      <c r="BC109" s="9"/>
    </row>
    <row r="110" spans="1:55" s="6" customFormat="1" x14ac:dyDescent="0.2">
      <c r="A110" s="71" t="s">
        <v>117</v>
      </c>
      <c r="B110" s="47">
        <f t="shared" si="568"/>
        <v>0</v>
      </c>
      <c r="C110" s="6">
        <f t="shared" si="569"/>
        <v>0</v>
      </c>
      <c r="D110" s="6">
        <f t="shared" si="570"/>
        <v>0</v>
      </c>
      <c r="E110" s="48"/>
      <c r="F110" s="47">
        <f t="shared" si="571"/>
        <v>0</v>
      </c>
      <c r="G110" s="6">
        <f t="shared" si="572"/>
        <v>0</v>
      </c>
      <c r="H110" s="6">
        <f t="shared" si="573"/>
        <v>0</v>
      </c>
      <c r="I110" s="48"/>
      <c r="J110" s="47">
        <f t="shared" si="574"/>
        <v>0</v>
      </c>
      <c r="K110" s="6">
        <f t="shared" si="575"/>
        <v>0</v>
      </c>
      <c r="L110" s="6">
        <f t="shared" si="576"/>
        <v>0</v>
      </c>
      <c r="M110" s="48"/>
      <c r="N110" s="47">
        <f t="shared" si="577"/>
        <v>0</v>
      </c>
      <c r="O110" s="6">
        <f t="shared" si="578"/>
        <v>0</v>
      </c>
      <c r="P110" s="6">
        <f t="shared" si="579"/>
        <v>0</v>
      </c>
      <c r="Q110" s="48"/>
      <c r="R110" s="47">
        <f t="shared" si="580"/>
        <v>0</v>
      </c>
      <c r="S110" s="6">
        <f t="shared" si="581"/>
        <v>0</v>
      </c>
      <c r="T110" s="6">
        <f t="shared" si="582"/>
        <v>0</v>
      </c>
      <c r="U110" s="48"/>
      <c r="V110" s="47">
        <f t="shared" si="583"/>
        <v>0</v>
      </c>
      <c r="W110" s="6">
        <f t="shared" si="584"/>
        <v>0</v>
      </c>
      <c r="X110" s="6">
        <f t="shared" si="585"/>
        <v>0</v>
      </c>
      <c r="Y110" s="48"/>
      <c r="Z110" s="47">
        <f t="shared" si="586"/>
        <v>0</v>
      </c>
      <c r="AA110" s="6">
        <f t="shared" si="587"/>
        <v>0</v>
      </c>
      <c r="AB110" s="6">
        <f t="shared" si="588"/>
        <v>0</v>
      </c>
      <c r="AC110" s="48"/>
      <c r="AD110" s="47">
        <f t="shared" si="589"/>
        <v>0</v>
      </c>
      <c r="AE110" s="6">
        <f t="shared" si="590"/>
        <v>0</v>
      </c>
      <c r="AF110" s="6">
        <f t="shared" si="591"/>
        <v>0</v>
      </c>
      <c r="AG110" s="48"/>
      <c r="AH110" s="47">
        <f t="shared" si="592"/>
        <v>0</v>
      </c>
      <c r="AI110" s="6">
        <f t="shared" si="593"/>
        <v>0</v>
      </c>
      <c r="AJ110" s="6">
        <f t="shared" si="594"/>
        <v>0</v>
      </c>
      <c r="AK110" s="48"/>
      <c r="AL110" s="47">
        <f t="shared" si="595"/>
        <v>0</v>
      </c>
      <c r="AM110" s="6">
        <f t="shared" si="596"/>
        <v>0</v>
      </c>
      <c r="AN110" s="6">
        <f t="shared" si="597"/>
        <v>0</v>
      </c>
      <c r="AO110" s="48"/>
      <c r="AP110" s="47">
        <f t="shared" si="598"/>
        <v>0</v>
      </c>
      <c r="AQ110" s="6">
        <f t="shared" si="599"/>
        <v>0</v>
      </c>
      <c r="AR110" s="6">
        <f t="shared" si="600"/>
        <v>0</v>
      </c>
      <c r="AS110" s="48"/>
      <c r="AT110" s="47">
        <f t="shared" si="601"/>
        <v>0</v>
      </c>
      <c r="AU110" s="6">
        <f t="shared" si="602"/>
        <v>0</v>
      </c>
      <c r="AV110" s="6">
        <f t="shared" si="603"/>
        <v>0</v>
      </c>
      <c r="AW110" s="48"/>
      <c r="AX110" s="47">
        <f t="shared" si="435"/>
        <v>0</v>
      </c>
      <c r="AY110" s="6">
        <f t="shared" si="436"/>
        <v>0</v>
      </c>
      <c r="AZ110" s="48">
        <f t="shared" si="437"/>
        <v>0</v>
      </c>
      <c r="BA110" s="7">
        <v>100</v>
      </c>
      <c r="BB110" s="8">
        <f t="shared" si="604"/>
        <v>0</v>
      </c>
      <c r="BC110" s="9">
        <f t="shared" si="605"/>
        <v>0</v>
      </c>
    </row>
    <row r="111" spans="1:55" s="145" customFormat="1" ht="24.6" customHeight="1" thickBot="1" x14ac:dyDescent="0.3">
      <c r="A111" s="89" t="s">
        <v>16</v>
      </c>
      <c r="B111" s="59">
        <f t="shared" ref="B111:AW111" si="606">SUM(B104:B110)</f>
        <v>7355.0499999999993</v>
      </c>
      <c r="C111" s="23">
        <f t="shared" si="606"/>
        <v>2647.8179999999998</v>
      </c>
      <c r="D111" s="23">
        <f t="shared" si="606"/>
        <v>4707.232</v>
      </c>
      <c r="E111" s="60">
        <f t="shared" si="606"/>
        <v>7355.05</v>
      </c>
      <c r="F111" s="59">
        <f t="shared" si="606"/>
        <v>2157.6999999999998</v>
      </c>
      <c r="G111" s="23">
        <f t="shared" si="606"/>
        <v>776.77199999999993</v>
      </c>
      <c r="H111" s="23">
        <f t="shared" si="606"/>
        <v>1380.9279999999999</v>
      </c>
      <c r="I111" s="60">
        <f t="shared" si="606"/>
        <v>2157.6999999999998</v>
      </c>
      <c r="J111" s="59">
        <f t="shared" si="606"/>
        <v>0</v>
      </c>
      <c r="K111" s="23">
        <f t="shared" si="606"/>
        <v>0</v>
      </c>
      <c r="L111" s="23">
        <f t="shared" si="606"/>
        <v>0</v>
      </c>
      <c r="M111" s="60">
        <f t="shared" si="606"/>
        <v>0</v>
      </c>
      <c r="N111" s="59">
        <f t="shared" si="606"/>
        <v>0</v>
      </c>
      <c r="O111" s="23">
        <f t="shared" si="606"/>
        <v>0</v>
      </c>
      <c r="P111" s="23">
        <f t="shared" si="606"/>
        <v>0</v>
      </c>
      <c r="Q111" s="60">
        <f t="shared" si="606"/>
        <v>0</v>
      </c>
      <c r="R111" s="59">
        <f t="shared" si="606"/>
        <v>0</v>
      </c>
      <c r="S111" s="23">
        <f t="shared" si="606"/>
        <v>0</v>
      </c>
      <c r="T111" s="23">
        <f t="shared" si="606"/>
        <v>0</v>
      </c>
      <c r="U111" s="60">
        <f t="shared" si="606"/>
        <v>0</v>
      </c>
      <c r="V111" s="59">
        <f t="shared" si="606"/>
        <v>0</v>
      </c>
      <c r="W111" s="23">
        <f t="shared" si="606"/>
        <v>0</v>
      </c>
      <c r="X111" s="23">
        <f t="shared" si="606"/>
        <v>0</v>
      </c>
      <c r="Y111" s="60">
        <f t="shared" si="606"/>
        <v>0</v>
      </c>
      <c r="Z111" s="59">
        <f t="shared" si="606"/>
        <v>0</v>
      </c>
      <c r="AA111" s="23">
        <f t="shared" si="606"/>
        <v>0</v>
      </c>
      <c r="AB111" s="23">
        <f t="shared" si="606"/>
        <v>0</v>
      </c>
      <c r="AC111" s="60">
        <f t="shared" si="606"/>
        <v>0</v>
      </c>
      <c r="AD111" s="59">
        <f t="shared" si="606"/>
        <v>0</v>
      </c>
      <c r="AE111" s="23">
        <f t="shared" si="606"/>
        <v>0</v>
      </c>
      <c r="AF111" s="23">
        <f t="shared" si="606"/>
        <v>0</v>
      </c>
      <c r="AG111" s="60">
        <f t="shared" si="606"/>
        <v>0</v>
      </c>
      <c r="AH111" s="59">
        <f t="shared" si="606"/>
        <v>0</v>
      </c>
      <c r="AI111" s="23">
        <f t="shared" si="606"/>
        <v>0</v>
      </c>
      <c r="AJ111" s="23">
        <f t="shared" si="606"/>
        <v>0</v>
      </c>
      <c r="AK111" s="60">
        <f t="shared" si="606"/>
        <v>0</v>
      </c>
      <c r="AL111" s="59">
        <f t="shared" si="606"/>
        <v>0</v>
      </c>
      <c r="AM111" s="23">
        <f t="shared" si="606"/>
        <v>0</v>
      </c>
      <c r="AN111" s="23">
        <f t="shared" si="606"/>
        <v>0</v>
      </c>
      <c r="AO111" s="60">
        <f t="shared" si="606"/>
        <v>0</v>
      </c>
      <c r="AP111" s="59">
        <f t="shared" si="606"/>
        <v>0</v>
      </c>
      <c r="AQ111" s="23">
        <f t="shared" si="606"/>
        <v>0</v>
      </c>
      <c r="AR111" s="23">
        <f t="shared" si="606"/>
        <v>0</v>
      </c>
      <c r="AS111" s="60">
        <f t="shared" si="606"/>
        <v>0</v>
      </c>
      <c r="AT111" s="59">
        <f t="shared" si="606"/>
        <v>0</v>
      </c>
      <c r="AU111" s="23">
        <f t="shared" si="606"/>
        <v>0</v>
      </c>
      <c r="AV111" s="23">
        <f t="shared" si="606"/>
        <v>0</v>
      </c>
      <c r="AW111" s="60">
        <f t="shared" si="606"/>
        <v>0</v>
      </c>
      <c r="AX111" s="59">
        <f t="shared" si="435"/>
        <v>9512.75</v>
      </c>
      <c r="AY111" s="23">
        <f t="shared" si="436"/>
        <v>3424.5899999999997</v>
      </c>
      <c r="AZ111" s="60">
        <f t="shared" si="437"/>
        <v>6088.16</v>
      </c>
      <c r="BA111" s="22"/>
      <c r="BB111" s="22"/>
      <c r="BC111" s="22">
        <f>SUM(BC103:BC110)</f>
        <v>0</v>
      </c>
    </row>
    <row r="112" spans="1:55" s="6" customFormat="1" x14ac:dyDescent="0.2">
      <c r="A112" s="118" t="s">
        <v>118</v>
      </c>
      <c r="B112" s="90"/>
      <c r="C112" s="91"/>
      <c r="D112" s="91"/>
      <c r="E112" s="92"/>
      <c r="F112" s="90"/>
      <c r="G112" s="91"/>
      <c r="H112" s="91"/>
      <c r="I112" s="92"/>
      <c r="J112" s="90"/>
      <c r="K112" s="91"/>
      <c r="L112" s="91"/>
      <c r="M112" s="92"/>
      <c r="N112" s="90"/>
      <c r="O112" s="91"/>
      <c r="P112" s="91"/>
      <c r="Q112" s="92"/>
      <c r="R112" s="90"/>
      <c r="S112" s="91"/>
      <c r="T112" s="91"/>
      <c r="U112" s="92"/>
      <c r="V112" s="90"/>
      <c r="W112" s="91"/>
      <c r="X112" s="91"/>
      <c r="Y112" s="92"/>
      <c r="Z112" s="90"/>
      <c r="AA112" s="91"/>
      <c r="AB112" s="91"/>
      <c r="AC112" s="92"/>
      <c r="AD112" s="90"/>
      <c r="AE112" s="91"/>
      <c r="AF112" s="91"/>
      <c r="AG112" s="92"/>
      <c r="AH112" s="90"/>
      <c r="AI112" s="91"/>
      <c r="AJ112" s="91"/>
      <c r="AK112" s="92"/>
      <c r="AL112" s="90"/>
      <c r="AM112" s="91"/>
      <c r="AN112" s="91"/>
      <c r="AO112" s="92"/>
      <c r="AP112" s="90"/>
      <c r="AQ112" s="91"/>
      <c r="AR112" s="91"/>
      <c r="AS112" s="92"/>
      <c r="AT112" s="90"/>
      <c r="AU112" s="91"/>
      <c r="AV112" s="91"/>
      <c r="AW112" s="92"/>
      <c r="AX112" s="90">
        <f t="shared" si="435"/>
        <v>0</v>
      </c>
      <c r="AY112" s="91">
        <f t="shared" si="436"/>
        <v>0</v>
      </c>
      <c r="AZ112" s="92">
        <f t="shared" si="437"/>
        <v>0</v>
      </c>
      <c r="BA112" s="4"/>
      <c r="BB112" s="4"/>
      <c r="BC112" s="4"/>
    </row>
    <row r="113" spans="1:55" s="6" customFormat="1" x14ac:dyDescent="0.2">
      <c r="A113" s="71" t="s">
        <v>119</v>
      </c>
      <c r="B113" s="47">
        <f t="shared" ref="B113:B115" si="607">C113+D113</f>
        <v>502.73</v>
      </c>
      <c r="C113" s="6">
        <f t="shared" ref="C113:C115" si="608">E113*$BA113/100</f>
        <v>502.73</v>
      </c>
      <c r="D113" s="6">
        <f t="shared" ref="D113:D115" si="609">E113*$BB113/100</f>
        <v>0</v>
      </c>
      <c r="E113" s="48">
        <f>'[1]Tarifas Bancárias'!$Y$36</f>
        <v>502.73</v>
      </c>
      <c r="F113" s="47">
        <f t="shared" ref="F113:F115" si="610">G113+H113</f>
        <v>642.79</v>
      </c>
      <c r="G113" s="5">
        <f t="shared" ref="G113:G115" si="611">I113*$BA113/100</f>
        <v>642.79</v>
      </c>
      <c r="H113" s="5">
        <f t="shared" ref="H113:H115" si="612">I113*$BB113/100</f>
        <v>0</v>
      </c>
      <c r="I113" s="52">
        <f>'Tarifas Bancárias'!Y67</f>
        <v>642.79</v>
      </c>
      <c r="J113" s="47">
        <f t="shared" ref="J113:J115" si="613">K113+L113</f>
        <v>596.29999999999995</v>
      </c>
      <c r="K113" s="5">
        <f t="shared" ref="K113:K115" si="614">M113*$BA113/100</f>
        <v>596.29999999999995</v>
      </c>
      <c r="L113" s="5">
        <f t="shared" ref="L113:L115" si="615">M113*$BB113/100</f>
        <v>0</v>
      </c>
      <c r="M113" s="52">
        <f>'Tarifas Bancárias'!Y101</f>
        <v>596.29999999999995</v>
      </c>
      <c r="N113" s="47">
        <f t="shared" ref="N113:N115" si="616">O113+P113</f>
        <v>0</v>
      </c>
      <c r="O113" s="5">
        <f t="shared" ref="O113:O115" si="617">Q113*$BA113/100</f>
        <v>0</v>
      </c>
      <c r="P113" s="5">
        <f t="shared" ref="P113:P115" si="618">Q113*$BB113/100</f>
        <v>0</v>
      </c>
      <c r="Q113" s="52">
        <f>'Tarifas Bancárias'!Y134</f>
        <v>0</v>
      </c>
      <c r="R113" s="47">
        <f t="shared" ref="R113:R115" si="619">S113+T113</f>
        <v>0</v>
      </c>
      <c r="S113" s="5">
        <f t="shared" ref="S113:S115" si="620">U113*$BA113/100</f>
        <v>0</v>
      </c>
      <c r="T113" s="5">
        <f t="shared" ref="T113:T115" si="621">U113*$BB113/100</f>
        <v>0</v>
      </c>
      <c r="U113" s="52">
        <f>'Tarifas Bancárias'!Y168</f>
        <v>0</v>
      </c>
      <c r="V113" s="47">
        <f t="shared" ref="V113:V115" si="622">W113+X113</f>
        <v>0</v>
      </c>
      <c r="W113" s="5">
        <f t="shared" ref="W113:W115" si="623">Y113*$BA113/100</f>
        <v>0</v>
      </c>
      <c r="X113" s="5">
        <f t="shared" ref="X113:X115" si="624">Y113*$BB113/100</f>
        <v>0</v>
      </c>
      <c r="Y113" s="52">
        <f>'Tarifas Bancárias'!Y201</f>
        <v>0</v>
      </c>
      <c r="Z113" s="47">
        <f t="shared" ref="Z113:Z115" si="625">AA113+AB113</f>
        <v>0</v>
      </c>
      <c r="AA113" s="5">
        <f t="shared" ref="AA113:AA115" si="626">AC113*$BA113/100</f>
        <v>0</v>
      </c>
      <c r="AB113" s="5">
        <f t="shared" ref="AB113:AB115" si="627">AC113*$BB113/100</f>
        <v>0</v>
      </c>
      <c r="AC113" s="52">
        <f>'Tarifas Bancárias'!Y235</f>
        <v>0</v>
      </c>
      <c r="AD113" s="47">
        <f t="shared" ref="AD113:AD115" si="628">AE113+AF113</f>
        <v>0</v>
      </c>
      <c r="AE113" s="5">
        <f t="shared" ref="AE113:AE115" si="629">AG113*$BA113/100</f>
        <v>0</v>
      </c>
      <c r="AF113" s="5">
        <f t="shared" ref="AF113:AF115" si="630">AG113*$BB113/100</f>
        <v>0</v>
      </c>
      <c r="AG113" s="52">
        <f>'Tarifas Bancárias'!Y269</f>
        <v>0</v>
      </c>
      <c r="AH113" s="47">
        <f t="shared" ref="AH113:AH115" si="631">AI113+AJ113</f>
        <v>0</v>
      </c>
      <c r="AI113" s="5">
        <f t="shared" ref="AI113:AI115" si="632">AK113*$BA113/100</f>
        <v>0</v>
      </c>
      <c r="AJ113" s="5">
        <f t="shared" ref="AJ113:AJ115" si="633">AK113*$BB113/100</f>
        <v>0</v>
      </c>
      <c r="AK113" s="52">
        <f>'Tarifas Bancárias'!Y302</f>
        <v>0</v>
      </c>
      <c r="AL113" s="47">
        <f t="shared" ref="AL113:AL115" si="634">AM113+AN113</f>
        <v>0</v>
      </c>
      <c r="AM113" s="5">
        <f t="shared" ref="AM113:AM115" si="635">AO113*$BA113/100</f>
        <v>0</v>
      </c>
      <c r="AN113" s="5">
        <f t="shared" ref="AN113:AN115" si="636">AO113*$BB113/100</f>
        <v>0</v>
      </c>
      <c r="AO113" s="52">
        <f>'Tarifas Bancárias'!Y336</f>
        <v>0</v>
      </c>
      <c r="AP113" s="47">
        <f t="shared" ref="AP113:AP115" si="637">AQ113+AR113</f>
        <v>0</v>
      </c>
      <c r="AQ113" s="5">
        <f t="shared" ref="AQ113:AQ115" si="638">AS113*$BA113/100</f>
        <v>0</v>
      </c>
      <c r="AR113" s="5">
        <f t="shared" ref="AR113:AR115" si="639">AS113*$BB113/100</f>
        <v>0</v>
      </c>
      <c r="AS113" s="52">
        <f>'Tarifas Bancárias'!Y369</f>
        <v>0</v>
      </c>
      <c r="AT113" s="47">
        <f t="shared" ref="AT113:AT115" si="640">AU113+AV113</f>
        <v>0</v>
      </c>
      <c r="AU113" s="5">
        <f t="shared" ref="AU113:AU115" si="641">AW113*$BA113/100</f>
        <v>0</v>
      </c>
      <c r="AV113" s="5">
        <f t="shared" ref="AV113:AV115" si="642">AW113*$BB113/100</f>
        <v>0</v>
      </c>
      <c r="AW113" s="52">
        <f>'Tarifas Bancárias'!Y403</f>
        <v>0</v>
      </c>
      <c r="AX113" s="51">
        <f t="shared" si="435"/>
        <v>1741.82</v>
      </c>
      <c r="AY113" s="5">
        <f t="shared" si="436"/>
        <v>1741.82</v>
      </c>
      <c r="AZ113" s="52"/>
      <c r="BA113" s="7">
        <f t="shared" ref="BA113:BA115" si="643">BC$1</f>
        <v>100</v>
      </c>
      <c r="BB113" s="8">
        <f t="shared" ref="BB113:BB115" si="644">100-BA113</f>
        <v>0</v>
      </c>
      <c r="BC113" s="9">
        <f t="shared" ref="BC113:BC115" si="645">AX113*(BB113/100)</f>
        <v>0</v>
      </c>
    </row>
    <row r="114" spans="1:55" s="6" customFormat="1" x14ac:dyDescent="0.2">
      <c r="A114" s="71" t="s">
        <v>120</v>
      </c>
      <c r="B114" s="47">
        <f t="shared" si="607"/>
        <v>0</v>
      </c>
      <c r="C114" s="5">
        <f t="shared" si="608"/>
        <v>0</v>
      </c>
      <c r="D114" s="5">
        <f t="shared" si="609"/>
        <v>0</v>
      </c>
      <c r="E114" s="52"/>
      <c r="F114" s="47">
        <f t="shared" si="610"/>
        <v>0</v>
      </c>
      <c r="G114" s="5">
        <f t="shared" si="611"/>
        <v>0</v>
      </c>
      <c r="H114" s="5">
        <f t="shared" si="612"/>
        <v>0</v>
      </c>
      <c r="I114" s="52"/>
      <c r="J114" s="47">
        <f t="shared" si="613"/>
        <v>0</v>
      </c>
      <c r="K114" s="5">
        <f t="shared" si="614"/>
        <v>0</v>
      </c>
      <c r="L114" s="5">
        <f t="shared" si="615"/>
        <v>0</v>
      </c>
      <c r="M114" s="52"/>
      <c r="N114" s="47">
        <f t="shared" si="616"/>
        <v>0</v>
      </c>
      <c r="O114" s="5">
        <f t="shared" si="617"/>
        <v>0</v>
      </c>
      <c r="P114" s="5">
        <f t="shared" si="618"/>
        <v>0</v>
      </c>
      <c r="Q114" s="52"/>
      <c r="R114" s="47">
        <f t="shared" si="619"/>
        <v>0</v>
      </c>
      <c r="S114" s="5">
        <f t="shared" si="620"/>
        <v>0</v>
      </c>
      <c r="T114" s="5">
        <f t="shared" si="621"/>
        <v>0</v>
      </c>
      <c r="U114" s="52"/>
      <c r="V114" s="47">
        <f t="shared" si="622"/>
        <v>0</v>
      </c>
      <c r="W114" s="5">
        <f t="shared" si="623"/>
        <v>0</v>
      </c>
      <c r="X114" s="5">
        <f t="shared" si="624"/>
        <v>0</v>
      </c>
      <c r="Y114" s="52"/>
      <c r="Z114" s="47">
        <f t="shared" si="625"/>
        <v>0</v>
      </c>
      <c r="AA114" s="5">
        <f t="shared" si="626"/>
        <v>0</v>
      </c>
      <c r="AB114" s="5">
        <f t="shared" si="627"/>
        <v>0</v>
      </c>
      <c r="AC114" s="52"/>
      <c r="AD114" s="47">
        <f t="shared" si="628"/>
        <v>0</v>
      </c>
      <c r="AE114" s="5">
        <f t="shared" si="629"/>
        <v>0</v>
      </c>
      <c r="AF114" s="5">
        <f t="shared" si="630"/>
        <v>0</v>
      </c>
      <c r="AG114" s="52"/>
      <c r="AH114" s="47">
        <f t="shared" si="631"/>
        <v>0</v>
      </c>
      <c r="AI114" s="5">
        <f t="shared" si="632"/>
        <v>0</v>
      </c>
      <c r="AJ114" s="5">
        <f t="shared" si="633"/>
        <v>0</v>
      </c>
      <c r="AK114" s="52"/>
      <c r="AL114" s="47">
        <f t="shared" si="634"/>
        <v>0</v>
      </c>
      <c r="AM114" s="5">
        <f t="shared" si="635"/>
        <v>0</v>
      </c>
      <c r="AN114" s="5">
        <f t="shared" si="636"/>
        <v>0</v>
      </c>
      <c r="AO114" s="52"/>
      <c r="AP114" s="47">
        <f t="shared" si="637"/>
        <v>0</v>
      </c>
      <c r="AQ114" s="5">
        <f t="shared" si="638"/>
        <v>0</v>
      </c>
      <c r="AR114" s="5">
        <f t="shared" si="639"/>
        <v>0</v>
      </c>
      <c r="AS114" s="52"/>
      <c r="AT114" s="47">
        <f t="shared" si="640"/>
        <v>0</v>
      </c>
      <c r="AU114" s="5">
        <f t="shared" si="641"/>
        <v>0</v>
      </c>
      <c r="AV114" s="5">
        <f t="shared" si="642"/>
        <v>0</v>
      </c>
      <c r="AW114" s="52"/>
      <c r="AX114" s="51">
        <f t="shared" si="435"/>
        <v>0</v>
      </c>
      <c r="AY114" s="5">
        <f t="shared" si="436"/>
        <v>0</v>
      </c>
      <c r="AZ114" s="52"/>
      <c r="BA114" s="7">
        <f t="shared" si="643"/>
        <v>100</v>
      </c>
      <c r="BB114" s="8">
        <f t="shared" si="644"/>
        <v>0</v>
      </c>
      <c r="BC114" s="9">
        <f t="shared" si="645"/>
        <v>0</v>
      </c>
    </row>
    <row r="115" spans="1:55" s="6" customFormat="1" x14ac:dyDescent="0.2">
      <c r="A115" s="71" t="s">
        <v>121</v>
      </c>
      <c r="B115" s="47">
        <f t="shared" si="607"/>
        <v>5145.8999999999996</v>
      </c>
      <c r="C115" s="5">
        <f t="shared" si="608"/>
        <v>5145.8999999999996</v>
      </c>
      <c r="D115" s="5">
        <f t="shared" si="609"/>
        <v>0</v>
      </c>
      <c r="E115" s="52">
        <v>5145.8999999999996</v>
      </c>
      <c r="F115" s="47">
        <f t="shared" si="610"/>
        <v>5185.08</v>
      </c>
      <c r="G115" s="5">
        <f t="shared" si="611"/>
        <v>5185.08</v>
      </c>
      <c r="H115" s="5">
        <f t="shared" si="612"/>
        <v>0</v>
      </c>
      <c r="I115" s="52">
        <v>5185.08</v>
      </c>
      <c r="J115" s="47">
        <f t="shared" si="613"/>
        <v>5239.66</v>
      </c>
      <c r="K115" s="5">
        <f t="shared" si="614"/>
        <v>5239.66</v>
      </c>
      <c r="L115" s="5">
        <f t="shared" si="615"/>
        <v>0</v>
      </c>
      <c r="M115" s="52">
        <v>5239.66</v>
      </c>
      <c r="N115" s="47">
        <f t="shared" si="616"/>
        <v>0</v>
      </c>
      <c r="O115" s="5">
        <f t="shared" si="617"/>
        <v>0</v>
      </c>
      <c r="P115" s="5">
        <f t="shared" si="618"/>
        <v>0</v>
      </c>
      <c r="Q115" s="52"/>
      <c r="R115" s="47">
        <f t="shared" si="619"/>
        <v>0</v>
      </c>
      <c r="S115" s="5">
        <f t="shared" si="620"/>
        <v>0</v>
      </c>
      <c r="T115" s="5">
        <f t="shared" si="621"/>
        <v>0</v>
      </c>
      <c r="U115" s="52"/>
      <c r="V115" s="47">
        <f t="shared" si="622"/>
        <v>0</v>
      </c>
      <c r="W115" s="5">
        <f t="shared" si="623"/>
        <v>0</v>
      </c>
      <c r="X115" s="5">
        <f t="shared" si="624"/>
        <v>0</v>
      </c>
      <c r="Y115" s="52"/>
      <c r="Z115" s="47">
        <f t="shared" si="625"/>
        <v>0</v>
      </c>
      <c r="AA115" s="5">
        <f t="shared" si="626"/>
        <v>0</v>
      </c>
      <c r="AB115" s="5">
        <f t="shared" si="627"/>
        <v>0</v>
      </c>
      <c r="AC115" s="52"/>
      <c r="AD115" s="47">
        <f t="shared" si="628"/>
        <v>0</v>
      </c>
      <c r="AE115" s="5">
        <f t="shared" si="629"/>
        <v>0</v>
      </c>
      <c r="AF115" s="5">
        <f t="shared" si="630"/>
        <v>0</v>
      </c>
      <c r="AG115" s="52"/>
      <c r="AH115" s="47">
        <f t="shared" si="631"/>
        <v>0</v>
      </c>
      <c r="AI115" s="5">
        <f t="shared" si="632"/>
        <v>0</v>
      </c>
      <c r="AJ115" s="5">
        <f t="shared" si="633"/>
        <v>0</v>
      </c>
      <c r="AK115" s="52"/>
      <c r="AL115" s="47">
        <f t="shared" si="634"/>
        <v>0</v>
      </c>
      <c r="AM115" s="5">
        <f t="shared" si="635"/>
        <v>0</v>
      </c>
      <c r="AN115" s="5">
        <f t="shared" si="636"/>
        <v>0</v>
      </c>
      <c r="AO115" s="52"/>
      <c r="AP115" s="47">
        <f t="shared" si="637"/>
        <v>0</v>
      </c>
      <c r="AQ115" s="5">
        <f t="shared" si="638"/>
        <v>0</v>
      </c>
      <c r="AR115" s="5">
        <f t="shared" si="639"/>
        <v>0</v>
      </c>
      <c r="AS115" s="52"/>
      <c r="AT115" s="47">
        <f t="shared" si="640"/>
        <v>0</v>
      </c>
      <c r="AU115" s="5">
        <f t="shared" si="641"/>
        <v>0</v>
      </c>
      <c r="AV115" s="5">
        <f t="shared" si="642"/>
        <v>0</v>
      </c>
      <c r="AW115" s="52"/>
      <c r="AX115" s="51">
        <f t="shared" si="435"/>
        <v>15570.64</v>
      </c>
      <c r="AY115" s="5">
        <f t="shared" si="436"/>
        <v>15570.64</v>
      </c>
      <c r="AZ115" s="52"/>
      <c r="BA115" s="7">
        <f t="shared" si="643"/>
        <v>100</v>
      </c>
      <c r="BB115" s="8">
        <f t="shared" si="644"/>
        <v>0</v>
      </c>
      <c r="BC115" s="9">
        <f t="shared" si="645"/>
        <v>0</v>
      </c>
    </row>
    <row r="116" spans="1:55" s="145" customFormat="1" ht="25.15" customHeight="1" x14ac:dyDescent="0.25">
      <c r="A116" s="114" t="s">
        <v>16</v>
      </c>
      <c r="B116" s="59">
        <f t="shared" ref="B116:D116" si="646">SUM(B113:B115)</f>
        <v>5648.6299999999992</v>
      </c>
      <c r="C116" s="23">
        <f t="shared" si="646"/>
        <v>5648.6299999999992</v>
      </c>
      <c r="D116" s="23">
        <f t="shared" si="646"/>
        <v>0</v>
      </c>
      <c r="E116" s="60">
        <f t="shared" ref="E116:AW116" si="647">SUM(E113:E115)</f>
        <v>5648.6299999999992</v>
      </c>
      <c r="F116" s="59">
        <f t="shared" si="647"/>
        <v>5827.87</v>
      </c>
      <c r="G116" s="23">
        <f t="shared" si="647"/>
        <v>5827.87</v>
      </c>
      <c r="H116" s="23">
        <f t="shared" si="647"/>
        <v>0</v>
      </c>
      <c r="I116" s="60">
        <f t="shared" si="647"/>
        <v>5827.87</v>
      </c>
      <c r="J116" s="59">
        <f t="shared" si="647"/>
        <v>5835.96</v>
      </c>
      <c r="K116" s="23">
        <f t="shared" si="647"/>
        <v>5835.96</v>
      </c>
      <c r="L116" s="23">
        <f t="shared" si="647"/>
        <v>0</v>
      </c>
      <c r="M116" s="60">
        <f t="shared" si="647"/>
        <v>5835.96</v>
      </c>
      <c r="N116" s="59">
        <f t="shared" si="647"/>
        <v>0</v>
      </c>
      <c r="O116" s="23">
        <f t="shared" si="647"/>
        <v>0</v>
      </c>
      <c r="P116" s="23">
        <f t="shared" si="647"/>
        <v>0</v>
      </c>
      <c r="Q116" s="60">
        <f t="shared" si="647"/>
        <v>0</v>
      </c>
      <c r="R116" s="59">
        <f t="shared" si="647"/>
        <v>0</v>
      </c>
      <c r="S116" s="23">
        <f t="shared" si="647"/>
        <v>0</v>
      </c>
      <c r="T116" s="23">
        <f t="shared" si="647"/>
        <v>0</v>
      </c>
      <c r="U116" s="60">
        <f t="shared" si="647"/>
        <v>0</v>
      </c>
      <c r="V116" s="59">
        <f t="shared" si="647"/>
        <v>0</v>
      </c>
      <c r="W116" s="23">
        <f t="shared" si="647"/>
        <v>0</v>
      </c>
      <c r="X116" s="23">
        <f t="shared" si="647"/>
        <v>0</v>
      </c>
      <c r="Y116" s="60">
        <f t="shared" si="647"/>
        <v>0</v>
      </c>
      <c r="Z116" s="59">
        <f t="shared" si="647"/>
        <v>0</v>
      </c>
      <c r="AA116" s="23">
        <f t="shared" si="647"/>
        <v>0</v>
      </c>
      <c r="AB116" s="23">
        <f t="shared" si="647"/>
        <v>0</v>
      </c>
      <c r="AC116" s="60">
        <f t="shared" si="647"/>
        <v>0</v>
      </c>
      <c r="AD116" s="59">
        <f t="shared" si="647"/>
        <v>0</v>
      </c>
      <c r="AE116" s="23">
        <f t="shared" si="647"/>
        <v>0</v>
      </c>
      <c r="AF116" s="23">
        <f t="shared" si="647"/>
        <v>0</v>
      </c>
      <c r="AG116" s="60">
        <f t="shared" si="647"/>
        <v>0</v>
      </c>
      <c r="AH116" s="59">
        <f t="shared" si="647"/>
        <v>0</v>
      </c>
      <c r="AI116" s="23">
        <f t="shared" si="647"/>
        <v>0</v>
      </c>
      <c r="AJ116" s="23">
        <f t="shared" si="647"/>
        <v>0</v>
      </c>
      <c r="AK116" s="60">
        <f t="shared" si="647"/>
        <v>0</v>
      </c>
      <c r="AL116" s="59">
        <f t="shared" si="647"/>
        <v>0</v>
      </c>
      <c r="AM116" s="23">
        <f t="shared" si="647"/>
        <v>0</v>
      </c>
      <c r="AN116" s="23">
        <f t="shared" si="647"/>
        <v>0</v>
      </c>
      <c r="AO116" s="60"/>
      <c r="AP116" s="59">
        <f t="shared" si="647"/>
        <v>0</v>
      </c>
      <c r="AQ116" s="23">
        <f t="shared" si="647"/>
        <v>0</v>
      </c>
      <c r="AR116" s="23">
        <f t="shared" si="647"/>
        <v>0</v>
      </c>
      <c r="AS116" s="60">
        <f t="shared" si="647"/>
        <v>0</v>
      </c>
      <c r="AT116" s="59">
        <f t="shared" si="647"/>
        <v>0</v>
      </c>
      <c r="AU116" s="23">
        <f t="shared" si="647"/>
        <v>0</v>
      </c>
      <c r="AV116" s="23">
        <f t="shared" si="647"/>
        <v>0</v>
      </c>
      <c r="AW116" s="60">
        <f t="shared" si="647"/>
        <v>0</v>
      </c>
      <c r="AX116" s="59">
        <f t="shared" si="435"/>
        <v>17312.46</v>
      </c>
      <c r="AY116" s="23">
        <f t="shared" si="436"/>
        <v>17312.46</v>
      </c>
      <c r="AZ116" s="60">
        <f t="shared" si="437"/>
        <v>0</v>
      </c>
      <c r="BA116" s="23"/>
      <c r="BB116" s="23"/>
      <c r="BC116" s="23">
        <f>SUM(BC112:BC115)</f>
        <v>0</v>
      </c>
    </row>
    <row r="117" spans="1:55" s="141" customFormat="1" ht="22.9" customHeight="1" thickBot="1" x14ac:dyDescent="0.3">
      <c r="A117" s="119" t="s">
        <v>122</v>
      </c>
      <c r="B117" s="85">
        <f t="shared" ref="B117:AW117" si="648">B102+B111+B116</f>
        <v>13703.679999999998</v>
      </c>
      <c r="C117" s="86">
        <f t="shared" si="648"/>
        <v>8996.4479999999985</v>
      </c>
      <c r="D117" s="86">
        <f t="shared" si="648"/>
        <v>4707.232</v>
      </c>
      <c r="E117" s="87">
        <f t="shared" si="648"/>
        <v>13703.68</v>
      </c>
      <c r="F117" s="85">
        <f t="shared" si="648"/>
        <v>7985.57</v>
      </c>
      <c r="G117" s="86">
        <f>G102+G111+G116</f>
        <v>6604.6419999999998</v>
      </c>
      <c r="H117" s="86">
        <f t="shared" si="648"/>
        <v>1380.9279999999999</v>
      </c>
      <c r="I117" s="87">
        <f t="shared" si="648"/>
        <v>7985.57</v>
      </c>
      <c r="J117" s="85">
        <f t="shared" si="648"/>
        <v>5835.96</v>
      </c>
      <c r="K117" s="86">
        <f>K102+K111+K116</f>
        <v>5835.96</v>
      </c>
      <c r="L117" s="86">
        <f t="shared" si="648"/>
        <v>0</v>
      </c>
      <c r="M117" s="87">
        <f t="shared" si="648"/>
        <v>5835.96</v>
      </c>
      <c r="N117" s="85">
        <f t="shared" si="648"/>
        <v>0</v>
      </c>
      <c r="O117" s="86">
        <f t="shared" si="648"/>
        <v>0</v>
      </c>
      <c r="P117" s="86">
        <f t="shared" si="648"/>
        <v>0</v>
      </c>
      <c r="Q117" s="87">
        <f t="shared" si="648"/>
        <v>0</v>
      </c>
      <c r="R117" s="85">
        <f t="shared" si="648"/>
        <v>0</v>
      </c>
      <c r="S117" s="86">
        <f t="shared" si="648"/>
        <v>0</v>
      </c>
      <c r="T117" s="86">
        <f t="shared" si="648"/>
        <v>0</v>
      </c>
      <c r="U117" s="87">
        <f t="shared" si="648"/>
        <v>0</v>
      </c>
      <c r="V117" s="85">
        <f t="shared" si="648"/>
        <v>0</v>
      </c>
      <c r="W117" s="86">
        <f t="shared" si="648"/>
        <v>0</v>
      </c>
      <c r="X117" s="86">
        <f t="shared" si="648"/>
        <v>0</v>
      </c>
      <c r="Y117" s="87">
        <f t="shared" si="648"/>
        <v>0</v>
      </c>
      <c r="Z117" s="85">
        <f t="shared" si="648"/>
        <v>0</v>
      </c>
      <c r="AA117" s="86">
        <f t="shared" si="648"/>
        <v>0</v>
      </c>
      <c r="AB117" s="86">
        <f t="shared" si="648"/>
        <v>0</v>
      </c>
      <c r="AC117" s="87">
        <f t="shared" si="648"/>
        <v>0</v>
      </c>
      <c r="AD117" s="85">
        <f t="shared" si="648"/>
        <v>0</v>
      </c>
      <c r="AE117" s="86">
        <f t="shared" si="648"/>
        <v>0</v>
      </c>
      <c r="AF117" s="86">
        <f t="shared" si="648"/>
        <v>0</v>
      </c>
      <c r="AG117" s="87">
        <f t="shared" si="648"/>
        <v>0</v>
      </c>
      <c r="AH117" s="85">
        <f t="shared" si="648"/>
        <v>0</v>
      </c>
      <c r="AI117" s="86">
        <f t="shared" si="648"/>
        <v>0</v>
      </c>
      <c r="AJ117" s="86">
        <f t="shared" si="648"/>
        <v>0</v>
      </c>
      <c r="AK117" s="87">
        <f t="shared" si="648"/>
        <v>0</v>
      </c>
      <c r="AL117" s="85">
        <f t="shared" si="648"/>
        <v>0</v>
      </c>
      <c r="AM117" s="86">
        <f t="shared" si="648"/>
        <v>0</v>
      </c>
      <c r="AN117" s="86">
        <f t="shared" si="648"/>
        <v>0</v>
      </c>
      <c r="AO117" s="87">
        <f t="shared" si="648"/>
        <v>0</v>
      </c>
      <c r="AP117" s="85">
        <f t="shared" si="648"/>
        <v>0</v>
      </c>
      <c r="AQ117" s="86">
        <f t="shared" si="648"/>
        <v>0</v>
      </c>
      <c r="AR117" s="86">
        <f t="shared" si="648"/>
        <v>0</v>
      </c>
      <c r="AS117" s="87">
        <f t="shared" si="648"/>
        <v>0</v>
      </c>
      <c r="AT117" s="85">
        <f t="shared" si="648"/>
        <v>0</v>
      </c>
      <c r="AU117" s="86">
        <f t="shared" si="648"/>
        <v>0</v>
      </c>
      <c r="AV117" s="86">
        <f t="shared" si="648"/>
        <v>0</v>
      </c>
      <c r="AW117" s="87">
        <f t="shared" si="648"/>
        <v>0</v>
      </c>
      <c r="AX117" s="85">
        <f t="shared" si="435"/>
        <v>27525.21</v>
      </c>
      <c r="AY117" s="86">
        <f t="shared" si="436"/>
        <v>21437.05</v>
      </c>
      <c r="AZ117" s="87">
        <f t="shared" si="437"/>
        <v>6088.16</v>
      </c>
      <c r="BA117" s="86"/>
      <c r="BB117" s="86"/>
      <c r="BC117" s="86">
        <f>BC102+BC111+BC116</f>
        <v>0</v>
      </c>
    </row>
    <row r="118" spans="1:55" s="140" customFormat="1" x14ac:dyDescent="0.2">
      <c r="A118" s="38"/>
      <c r="B118" s="127"/>
      <c r="C118" s="128"/>
      <c r="D118" s="128"/>
      <c r="E118" s="129"/>
      <c r="F118" s="127"/>
      <c r="G118" s="128"/>
      <c r="H118" s="128"/>
      <c r="I118" s="129"/>
      <c r="J118" s="127"/>
      <c r="K118" s="128"/>
      <c r="L118" s="128"/>
      <c r="M118" s="129"/>
      <c r="N118" s="127"/>
      <c r="O118" s="128"/>
      <c r="P118" s="128"/>
      <c r="Q118" s="129"/>
      <c r="R118" s="127"/>
      <c r="S118" s="128"/>
      <c r="T118" s="128"/>
      <c r="U118" s="129"/>
      <c r="V118" s="127"/>
      <c r="W118" s="128"/>
      <c r="X118" s="128"/>
      <c r="Y118" s="129"/>
      <c r="Z118" s="127"/>
      <c r="AA118" s="128"/>
      <c r="AB118" s="128"/>
      <c r="AC118" s="129"/>
      <c r="AD118" s="127"/>
      <c r="AE118" s="128"/>
      <c r="AF118" s="128"/>
      <c r="AG118" s="129"/>
      <c r="AH118" s="127"/>
      <c r="AI118" s="128"/>
      <c r="AJ118" s="128"/>
      <c r="AK118" s="129"/>
      <c r="AL118" s="127"/>
      <c r="AM118" s="128"/>
      <c r="AN118" s="128"/>
      <c r="AO118" s="129"/>
      <c r="AP118" s="127"/>
      <c r="AQ118" s="128"/>
      <c r="AR118" s="128"/>
      <c r="AS118" s="129"/>
      <c r="AT118" s="127"/>
      <c r="AU118" s="128"/>
      <c r="AV118" s="128"/>
      <c r="AW118" s="129"/>
      <c r="AX118" s="127"/>
      <c r="AY118" s="128"/>
      <c r="AZ118" s="129"/>
      <c r="BA118" s="128"/>
      <c r="BB118" s="128"/>
      <c r="BC118" s="128"/>
    </row>
    <row r="119" spans="1:55" s="6" customFormat="1" x14ac:dyDescent="0.2">
      <c r="A119" s="39" t="s">
        <v>123</v>
      </c>
      <c r="B119" s="63"/>
      <c r="C119" s="163"/>
      <c r="D119" s="163"/>
      <c r="E119" s="64"/>
      <c r="F119" s="63"/>
      <c r="G119" s="163"/>
      <c r="H119" s="163"/>
      <c r="I119" s="64"/>
      <c r="J119" s="63"/>
      <c r="K119" s="163"/>
      <c r="L119" s="163"/>
      <c r="M119" s="64"/>
      <c r="N119" s="63"/>
      <c r="O119" s="163"/>
      <c r="P119" s="163"/>
      <c r="Q119" s="64"/>
      <c r="R119" s="63"/>
      <c r="S119" s="163"/>
      <c r="T119" s="163"/>
      <c r="U119" s="64"/>
      <c r="V119" s="63"/>
      <c r="W119" s="163"/>
      <c r="X119" s="163"/>
      <c r="Y119" s="64"/>
      <c r="Z119" s="63"/>
      <c r="AA119" s="163"/>
      <c r="AB119" s="163"/>
      <c r="AC119" s="64"/>
      <c r="AD119" s="63"/>
      <c r="AE119" s="163"/>
      <c r="AF119" s="163"/>
      <c r="AG119" s="64"/>
      <c r="AH119" s="63"/>
      <c r="AI119" s="163"/>
      <c r="AJ119" s="163"/>
      <c r="AK119" s="64"/>
      <c r="AL119" s="63"/>
      <c r="AM119" s="163"/>
      <c r="AN119" s="163"/>
      <c r="AO119" s="64"/>
      <c r="AP119" s="63"/>
      <c r="AQ119" s="163"/>
      <c r="AR119" s="163"/>
      <c r="AS119" s="64"/>
      <c r="AT119" s="63"/>
      <c r="AU119" s="163"/>
      <c r="AV119" s="163"/>
      <c r="AW119" s="64"/>
      <c r="AX119" s="63"/>
      <c r="AY119" s="163"/>
      <c r="AZ119" s="64"/>
      <c r="BA119" s="163"/>
      <c r="BB119" s="163"/>
      <c r="BC119" s="163"/>
    </row>
    <row r="120" spans="1:55" s="6" customFormat="1" x14ac:dyDescent="0.2">
      <c r="A120" s="40" t="s">
        <v>147</v>
      </c>
      <c r="B120" s="63">
        <f>C120+D120</f>
        <v>65532.38</v>
      </c>
      <c r="C120" s="163">
        <f>'FATURAMENTO '!B154</f>
        <v>44627.549999999996</v>
      </c>
      <c r="D120" s="163">
        <f>'FATURAMENTO '!B251</f>
        <v>20904.830000000002</v>
      </c>
      <c r="E120" s="64"/>
      <c r="F120" s="63">
        <f t="shared" ref="F120" si="649">G120+H120</f>
        <v>48031.659999999989</v>
      </c>
      <c r="G120" s="163">
        <f>'FATURAMENTO '!E154</f>
        <v>13164.159999999993</v>
      </c>
      <c r="H120" s="163">
        <f>'FATURAMENTO '!E251</f>
        <v>34867.5</v>
      </c>
      <c r="I120" s="64"/>
      <c r="J120" s="63">
        <f t="shared" ref="J120:J123" si="650">K120+L120</f>
        <v>35064.01</v>
      </c>
      <c r="K120" s="163">
        <f>'FATURAMENTO '!H154</f>
        <v>12643.01</v>
      </c>
      <c r="L120" s="163">
        <f>'FATURAMENTO '!H251</f>
        <v>22421</v>
      </c>
      <c r="M120" s="64"/>
      <c r="N120" s="63">
        <f t="shared" ref="N120:N123" si="651">O120+P120</f>
        <v>0</v>
      </c>
      <c r="O120" s="163">
        <f>'FATURAMENTO '!K154</f>
        <v>0</v>
      </c>
      <c r="P120" s="163">
        <f>'FATURAMENTO '!K251</f>
        <v>0</v>
      </c>
      <c r="Q120" s="64"/>
      <c r="R120" s="63">
        <f t="shared" ref="R120:R123" si="652">S120+T120</f>
        <v>0</v>
      </c>
      <c r="S120" s="163">
        <f>'FATURAMENTO '!N154</f>
        <v>0</v>
      </c>
      <c r="T120" s="163">
        <f>'FATURAMENTO '!N251</f>
        <v>0</v>
      </c>
      <c r="U120" s="64"/>
      <c r="V120" s="63">
        <f t="shared" ref="V120:V123" si="653">W120+X120</f>
        <v>0</v>
      </c>
      <c r="W120" s="163">
        <f>'FATURAMENTO '!Q154</f>
        <v>0</v>
      </c>
      <c r="X120" s="163">
        <f>'FATURAMENTO '!Q251</f>
        <v>0</v>
      </c>
      <c r="Y120" s="64"/>
      <c r="Z120" s="63">
        <f t="shared" ref="Z120:Z123" si="654">AA120+AB120</f>
        <v>0</v>
      </c>
      <c r="AA120" s="163">
        <f>'FATURAMENTO '!T154</f>
        <v>0</v>
      </c>
      <c r="AB120" s="163">
        <f>'FATURAMENTO '!T251</f>
        <v>0</v>
      </c>
      <c r="AC120" s="64"/>
      <c r="AD120" s="63">
        <f t="shared" ref="AD120:AD123" si="655">AE120+AF120</f>
        <v>0</v>
      </c>
      <c r="AE120" s="163">
        <f>'FATURAMENTO '!W154</f>
        <v>0</v>
      </c>
      <c r="AF120" s="163">
        <f>'FATURAMENTO '!W251</f>
        <v>0</v>
      </c>
      <c r="AG120" s="64"/>
      <c r="AH120" s="63">
        <f t="shared" ref="AH120:AH123" si="656">AI120+AJ120</f>
        <v>0</v>
      </c>
      <c r="AI120" s="163">
        <f>'FATURAMENTO '!Z154</f>
        <v>0</v>
      </c>
      <c r="AJ120" s="163">
        <f>'FATURAMENTO '!Z251</f>
        <v>0</v>
      </c>
      <c r="AK120" s="64"/>
      <c r="AL120" s="63">
        <f t="shared" ref="AL120:AL123" si="657">AM120+AN120</f>
        <v>0</v>
      </c>
      <c r="AM120" s="163">
        <f>'FATURAMENTO '!AC154</f>
        <v>0</v>
      </c>
      <c r="AN120" s="163">
        <f>'FATURAMENTO '!AC251</f>
        <v>0</v>
      </c>
      <c r="AO120" s="64"/>
      <c r="AP120" s="63">
        <f t="shared" ref="AP120:AP123" si="658">AQ120+AR120</f>
        <v>0</v>
      </c>
      <c r="AQ120" s="163">
        <f>'FATURAMENTO '!AF154</f>
        <v>0</v>
      </c>
      <c r="AR120" s="163">
        <f>'FATURAMENTO '!AF251</f>
        <v>0</v>
      </c>
      <c r="AS120" s="64"/>
      <c r="AT120" s="63">
        <f t="shared" ref="AT120:AT123" si="659">AU120+AV120</f>
        <v>0</v>
      </c>
      <c r="AU120" s="163">
        <f>'FATURAMENTO '!AI154</f>
        <v>0</v>
      </c>
      <c r="AV120" s="163">
        <f>'FATURAMENTO '!AI251</f>
        <v>0</v>
      </c>
      <c r="AW120" s="64"/>
      <c r="AX120" s="63">
        <f t="shared" ref="AX120:AX123" si="660">AY120+AZ120</f>
        <v>148628.04999999999</v>
      </c>
      <c r="AY120" s="163">
        <f t="shared" ref="AY120" si="661">C120+G120+K120+O120+S120+W120+AA120+AE120+AI120+AM120+AQ120+AU120</f>
        <v>70434.719999999987</v>
      </c>
      <c r="AZ120" s="64">
        <f t="shared" ref="AZ120" si="662">D120+H120+L120+P120+T120+X120+AB120+AF120+AJ120+AN120+AR120+AV120</f>
        <v>78193.33</v>
      </c>
      <c r="BA120" s="163"/>
      <c r="BB120" s="163"/>
      <c r="BC120" s="163"/>
    </row>
    <row r="121" spans="1:55" s="6" customFormat="1" x14ac:dyDescent="0.2">
      <c r="A121" s="40" t="s">
        <v>148</v>
      </c>
      <c r="B121" s="63">
        <f>C121+D121</f>
        <v>73872.87</v>
      </c>
      <c r="C121" s="163">
        <f>C117+C89+C82+C28</f>
        <v>42700.517599999999</v>
      </c>
      <c r="D121" s="163">
        <f>D117+D89+D82+D28</f>
        <v>31172.3524</v>
      </c>
      <c r="E121" s="64"/>
      <c r="F121" s="63">
        <f>G121+H121</f>
        <v>45482.020000000004</v>
      </c>
      <c r="G121" s="163">
        <f>G117+G89+G82+G28</f>
        <v>34319.275200000004</v>
      </c>
      <c r="H121" s="163">
        <f>H117+H89+H82+H28</f>
        <v>11162.7448</v>
      </c>
      <c r="I121" s="64"/>
      <c r="J121" s="63">
        <f>K121+L121</f>
        <v>40276.750000000007</v>
      </c>
      <c r="K121" s="163">
        <f>K117+K89+K82+K28</f>
        <v>15104.99</v>
      </c>
      <c r="L121" s="163">
        <f>L117+L89+L82+L28</f>
        <v>25171.760000000006</v>
      </c>
      <c r="M121" s="64"/>
      <c r="N121" s="63">
        <f t="shared" si="651"/>
        <v>0</v>
      </c>
      <c r="O121" s="163">
        <f>O117+O89+O82+O28</f>
        <v>0</v>
      </c>
      <c r="P121" s="163">
        <f>P117+P89+P82+P28</f>
        <v>0</v>
      </c>
      <c r="Q121" s="64"/>
      <c r="R121" s="63">
        <f t="shared" si="652"/>
        <v>0</v>
      </c>
      <c r="S121" s="163">
        <f>S117+S89+S82+S28</f>
        <v>0</v>
      </c>
      <c r="T121" s="163">
        <f>T117+T89+T82+T28</f>
        <v>0</v>
      </c>
      <c r="U121" s="64"/>
      <c r="V121" s="63">
        <f t="shared" si="653"/>
        <v>0</v>
      </c>
      <c r="W121" s="163">
        <f>W117+W89+W82+W28</f>
        <v>0</v>
      </c>
      <c r="X121" s="163">
        <f>X117+X89+X82+X28</f>
        <v>0</v>
      </c>
      <c r="Y121" s="64"/>
      <c r="Z121" s="63">
        <f t="shared" si="654"/>
        <v>0</v>
      </c>
      <c r="AA121" s="163">
        <f>AA117+AA89+AA82+AA28</f>
        <v>0</v>
      </c>
      <c r="AB121" s="163">
        <f>AB117+AB89+AB82+AB28</f>
        <v>0</v>
      </c>
      <c r="AC121" s="64"/>
      <c r="AD121" s="63">
        <f t="shared" si="655"/>
        <v>0</v>
      </c>
      <c r="AE121" s="163">
        <f>AE117+AE89+AE82+AE28</f>
        <v>0</v>
      </c>
      <c r="AF121" s="163">
        <f>AF117+AF89+AF82+AF28</f>
        <v>0</v>
      </c>
      <c r="AG121" s="64"/>
      <c r="AH121" s="63">
        <f t="shared" si="656"/>
        <v>0</v>
      </c>
      <c r="AI121" s="163">
        <f>AI117+AI89+AI82+AI28</f>
        <v>0</v>
      </c>
      <c r="AJ121" s="163">
        <f>AJ117+AJ89+AJ82+AJ28</f>
        <v>0</v>
      </c>
      <c r="AK121" s="64"/>
      <c r="AL121" s="63">
        <f t="shared" si="657"/>
        <v>0</v>
      </c>
      <c r="AM121" s="163">
        <f>AM117+AM89+AM82+AM28</f>
        <v>0</v>
      </c>
      <c r="AN121" s="163">
        <f>AN117+AN89+AN82+AN28</f>
        <v>0</v>
      </c>
      <c r="AO121" s="64"/>
      <c r="AP121" s="63">
        <f t="shared" si="658"/>
        <v>0</v>
      </c>
      <c r="AQ121" s="163">
        <f>AQ117+AQ89+AQ82+AQ28</f>
        <v>0</v>
      </c>
      <c r="AR121" s="163">
        <f>AR117+AR89+AR82+AR28</f>
        <v>0</v>
      </c>
      <c r="AS121" s="64"/>
      <c r="AT121" s="63">
        <f t="shared" si="659"/>
        <v>0</v>
      </c>
      <c r="AU121" s="163">
        <f>AU117+AU89+AU82+AU28</f>
        <v>0</v>
      </c>
      <c r="AV121" s="163">
        <f>AV117+AV89+AV82+AV28</f>
        <v>0</v>
      </c>
      <c r="AW121" s="64"/>
      <c r="AX121" s="63">
        <f t="shared" si="660"/>
        <v>159631.64000000001</v>
      </c>
      <c r="AY121" s="163">
        <f>AY117+AY89+AY82+AY28</f>
        <v>92124.782800000001</v>
      </c>
      <c r="AZ121" s="64">
        <f>AZ117+AZ89+AZ82+AZ28</f>
        <v>67506.857199999999</v>
      </c>
      <c r="BA121" s="163"/>
      <c r="BB121" s="163"/>
      <c r="BC121" s="163">
        <f>BC117+BC89+BC82+BC28</f>
        <v>0</v>
      </c>
    </row>
    <row r="122" spans="1:55" s="140" customFormat="1" x14ac:dyDescent="0.2">
      <c r="A122" s="39" t="s">
        <v>123</v>
      </c>
      <c r="B122" s="65">
        <f>C122+D122</f>
        <v>-8340.4900000000016</v>
      </c>
      <c r="C122" s="164">
        <f>C120-C121</f>
        <v>1927.0323999999964</v>
      </c>
      <c r="D122" s="164">
        <f>D120-D121</f>
        <v>-10267.522399999998</v>
      </c>
      <c r="E122" s="66"/>
      <c r="F122" s="65">
        <f t="shared" ref="F122:F123" si="663">G122+H122</f>
        <v>2549.6399999999885</v>
      </c>
      <c r="G122" s="164">
        <f t="shared" ref="G122:H122" si="664">G120-G121</f>
        <v>-21155.115200000011</v>
      </c>
      <c r="H122" s="164">
        <f t="shared" si="664"/>
        <v>23704.7552</v>
      </c>
      <c r="I122" s="66"/>
      <c r="J122" s="65">
        <f>K122+L122</f>
        <v>-5212.7400000000052</v>
      </c>
      <c r="K122" s="164">
        <f>K120-K121</f>
        <v>-2461.9799999999996</v>
      </c>
      <c r="L122" s="164">
        <f>L120-L121</f>
        <v>-2750.7600000000057</v>
      </c>
      <c r="M122" s="66"/>
      <c r="N122" s="65">
        <f t="shared" si="651"/>
        <v>0</v>
      </c>
      <c r="O122" s="164">
        <f t="shared" ref="O122:P122" si="665">O120-O121</f>
        <v>0</v>
      </c>
      <c r="P122" s="164">
        <f t="shared" si="665"/>
        <v>0</v>
      </c>
      <c r="Q122" s="66"/>
      <c r="R122" s="65">
        <f t="shared" si="652"/>
        <v>0</v>
      </c>
      <c r="S122" s="164">
        <f t="shared" ref="S122:T122" si="666">S120-S121</f>
        <v>0</v>
      </c>
      <c r="T122" s="164">
        <f t="shared" si="666"/>
        <v>0</v>
      </c>
      <c r="U122" s="66"/>
      <c r="V122" s="65">
        <f t="shared" si="653"/>
        <v>0</v>
      </c>
      <c r="W122" s="164">
        <f t="shared" ref="W122:X122" si="667">W120-W121</f>
        <v>0</v>
      </c>
      <c r="X122" s="164">
        <f t="shared" si="667"/>
        <v>0</v>
      </c>
      <c r="Y122" s="66"/>
      <c r="Z122" s="65">
        <f t="shared" si="654"/>
        <v>0</v>
      </c>
      <c r="AA122" s="164">
        <f t="shared" ref="AA122:AB122" si="668">AA120-AA121</f>
        <v>0</v>
      </c>
      <c r="AB122" s="164">
        <f t="shared" si="668"/>
        <v>0</v>
      </c>
      <c r="AC122" s="66"/>
      <c r="AD122" s="65">
        <f t="shared" si="655"/>
        <v>0</v>
      </c>
      <c r="AE122" s="164">
        <f t="shared" ref="AE122:AF122" si="669">AE120-AE121</f>
        <v>0</v>
      </c>
      <c r="AF122" s="164">
        <f t="shared" si="669"/>
        <v>0</v>
      </c>
      <c r="AG122" s="66"/>
      <c r="AH122" s="65">
        <f t="shared" si="656"/>
        <v>0</v>
      </c>
      <c r="AI122" s="164">
        <f t="shared" ref="AI122:AJ122" si="670">AI120-AI121</f>
        <v>0</v>
      </c>
      <c r="AJ122" s="164">
        <f t="shared" si="670"/>
        <v>0</v>
      </c>
      <c r="AK122" s="66"/>
      <c r="AL122" s="65">
        <f t="shared" si="657"/>
        <v>0</v>
      </c>
      <c r="AM122" s="164">
        <f t="shared" ref="AM122:AN122" si="671">AM120-AM121</f>
        <v>0</v>
      </c>
      <c r="AN122" s="164">
        <f t="shared" si="671"/>
        <v>0</v>
      </c>
      <c r="AO122" s="66"/>
      <c r="AP122" s="65">
        <f t="shared" si="658"/>
        <v>0</v>
      </c>
      <c r="AQ122" s="164">
        <f t="shared" ref="AQ122:AR122" si="672">AQ120-AQ121</f>
        <v>0</v>
      </c>
      <c r="AR122" s="164">
        <f t="shared" si="672"/>
        <v>0</v>
      </c>
      <c r="AS122" s="66"/>
      <c r="AT122" s="65">
        <f t="shared" si="659"/>
        <v>0</v>
      </c>
      <c r="AU122" s="164">
        <f t="shared" ref="AU122:AV122" si="673">AU120-AU121</f>
        <v>0</v>
      </c>
      <c r="AV122" s="164">
        <f t="shared" si="673"/>
        <v>0</v>
      </c>
      <c r="AW122" s="66"/>
      <c r="AX122" s="65">
        <f t="shared" si="660"/>
        <v>-11003.590000000011</v>
      </c>
      <c r="AY122" s="164">
        <f t="shared" ref="AY122" si="674">AY120-AY121</f>
        <v>-21690.062800000014</v>
      </c>
      <c r="AZ122" s="66">
        <f t="shared" ref="AZ122" si="675">AZ120-AZ121</f>
        <v>10686.472800000003</v>
      </c>
      <c r="BA122" s="164"/>
      <c r="BB122" s="164"/>
      <c r="BC122" s="164"/>
    </row>
    <row r="123" spans="1:55" s="6" customFormat="1" x14ac:dyDescent="0.2">
      <c r="A123" s="125" t="s">
        <v>124</v>
      </c>
      <c r="B123" s="63">
        <f>C123+D123</f>
        <v>0</v>
      </c>
      <c r="C123" s="163"/>
      <c r="D123" s="163"/>
      <c r="E123" s="64"/>
      <c r="F123" s="63">
        <f t="shared" si="663"/>
        <v>0</v>
      </c>
      <c r="G123" s="163"/>
      <c r="H123" s="163"/>
      <c r="I123" s="64"/>
      <c r="J123" s="63">
        <f t="shared" si="650"/>
        <v>0</v>
      </c>
      <c r="K123" s="163"/>
      <c r="L123" s="163"/>
      <c r="M123" s="64"/>
      <c r="N123" s="63">
        <f t="shared" si="651"/>
        <v>0</v>
      </c>
      <c r="O123" s="163"/>
      <c r="P123" s="163"/>
      <c r="Q123" s="64"/>
      <c r="R123" s="63">
        <f t="shared" si="652"/>
        <v>0</v>
      </c>
      <c r="S123" s="163"/>
      <c r="T123" s="163"/>
      <c r="U123" s="64"/>
      <c r="V123" s="63">
        <f t="shared" si="653"/>
        <v>0</v>
      </c>
      <c r="W123" s="163"/>
      <c r="X123" s="163"/>
      <c r="Y123" s="64"/>
      <c r="Z123" s="63">
        <f t="shared" si="654"/>
        <v>0</v>
      </c>
      <c r="AA123" s="163"/>
      <c r="AB123" s="163"/>
      <c r="AC123" s="64"/>
      <c r="AD123" s="63">
        <f t="shared" si="655"/>
        <v>0</v>
      </c>
      <c r="AE123" s="163"/>
      <c r="AF123" s="163"/>
      <c r="AG123" s="64"/>
      <c r="AH123" s="63">
        <f t="shared" si="656"/>
        <v>0</v>
      </c>
      <c r="AI123" s="163"/>
      <c r="AJ123" s="163"/>
      <c r="AK123" s="64"/>
      <c r="AL123" s="63">
        <f t="shared" si="657"/>
        <v>0</v>
      </c>
      <c r="AM123" s="163"/>
      <c r="AN123" s="163"/>
      <c r="AO123" s="64"/>
      <c r="AP123" s="63">
        <f t="shared" si="658"/>
        <v>0</v>
      </c>
      <c r="AQ123" s="163"/>
      <c r="AR123" s="163"/>
      <c r="AS123" s="64"/>
      <c r="AT123" s="63">
        <f t="shared" si="659"/>
        <v>0</v>
      </c>
      <c r="AU123" s="163"/>
      <c r="AV123" s="163"/>
      <c r="AW123" s="64"/>
      <c r="AX123" s="63">
        <f t="shared" si="660"/>
        <v>0</v>
      </c>
      <c r="AY123" s="163">
        <f t="shared" ref="AY123" si="676">C123+G123+K123+O123+S123+W123+AA123+AE123+AI123+AM123+AQ123+AU123</f>
        <v>0</v>
      </c>
      <c r="AZ123" s="64">
        <f t="shared" ref="AZ123" si="677">D123+H123+L123+P123+T123+X123+AB123+AF123+AJ123+AN123+AR123+AV123</f>
        <v>0</v>
      </c>
      <c r="BA123" s="163"/>
      <c r="BB123" s="163"/>
      <c r="BC123" s="163"/>
    </row>
    <row r="124" spans="1:55" s="6" customFormat="1" x14ac:dyDescent="0.2">
      <c r="A124" s="126"/>
      <c r="B124" s="63"/>
      <c r="C124" s="163"/>
      <c r="D124" s="163"/>
      <c r="E124" s="64"/>
      <c r="F124" s="63"/>
      <c r="G124" s="163"/>
      <c r="H124" s="163"/>
      <c r="I124" s="64"/>
      <c r="J124" s="63"/>
      <c r="K124" s="163"/>
      <c r="L124" s="163"/>
      <c r="M124" s="64"/>
      <c r="N124" s="63"/>
      <c r="O124" s="163"/>
      <c r="P124" s="163"/>
      <c r="Q124" s="64"/>
      <c r="R124" s="63"/>
      <c r="S124" s="163"/>
      <c r="T124" s="163"/>
      <c r="U124" s="64"/>
      <c r="V124" s="63"/>
      <c r="W124" s="163"/>
      <c r="X124" s="163"/>
      <c r="Y124" s="64"/>
      <c r="Z124" s="63"/>
      <c r="AA124" s="163"/>
      <c r="AB124" s="163"/>
      <c r="AC124" s="64"/>
      <c r="AD124" s="63"/>
      <c r="AE124" s="163"/>
      <c r="AF124" s="163"/>
      <c r="AG124" s="64"/>
      <c r="AH124" s="63"/>
      <c r="AI124" s="163"/>
      <c r="AJ124" s="163"/>
      <c r="AK124" s="64"/>
      <c r="AL124" s="63"/>
      <c r="AM124" s="163"/>
      <c r="AN124" s="163"/>
      <c r="AO124" s="64"/>
      <c r="AP124" s="63"/>
      <c r="AQ124" s="163"/>
      <c r="AR124" s="163"/>
      <c r="AS124" s="64"/>
      <c r="AT124" s="63"/>
      <c r="AU124" s="163"/>
      <c r="AV124" s="163"/>
      <c r="AW124" s="64"/>
      <c r="AX124" s="63"/>
      <c r="AY124" s="163"/>
      <c r="AZ124" s="64"/>
      <c r="BA124" s="163"/>
      <c r="BB124" s="163"/>
      <c r="BC124" s="163"/>
    </row>
    <row r="125" spans="1:55" s="6" customFormat="1" ht="13.5" thickBot="1" x14ac:dyDescent="0.25">
      <c r="A125" s="41" t="s">
        <v>149</v>
      </c>
      <c r="B125" s="165">
        <f t="shared" ref="B125:C125" si="678">B122-B123</f>
        <v>-8340.4900000000016</v>
      </c>
      <c r="C125" s="25">
        <f t="shared" si="678"/>
        <v>1927.0323999999964</v>
      </c>
      <c r="D125" s="25">
        <f>D122-D123</f>
        <v>-10267.522399999998</v>
      </c>
      <c r="E125" s="166"/>
      <c r="F125" s="165">
        <f t="shared" ref="F125:H125" si="679">F122-F123</f>
        <v>2549.6399999999885</v>
      </c>
      <c r="G125" s="25">
        <f t="shared" si="679"/>
        <v>-21155.115200000011</v>
      </c>
      <c r="H125" s="25">
        <f t="shared" si="679"/>
        <v>23704.7552</v>
      </c>
      <c r="I125" s="166"/>
      <c r="J125" s="165">
        <f>J122-J123</f>
        <v>-5212.7400000000052</v>
      </c>
      <c r="K125" s="25">
        <f t="shared" ref="J125:L125" si="680">K122-K123</f>
        <v>-2461.9799999999996</v>
      </c>
      <c r="L125" s="25">
        <f t="shared" si="680"/>
        <v>-2750.7600000000057</v>
      </c>
      <c r="M125" s="166"/>
      <c r="N125" s="165">
        <f t="shared" ref="N125:P125" si="681">N122-N123</f>
        <v>0</v>
      </c>
      <c r="O125" s="25">
        <f t="shared" si="681"/>
        <v>0</v>
      </c>
      <c r="P125" s="25">
        <f t="shared" si="681"/>
        <v>0</v>
      </c>
      <c r="Q125" s="166"/>
      <c r="R125" s="165">
        <f t="shared" ref="R125:T125" si="682">R122-R123</f>
        <v>0</v>
      </c>
      <c r="S125" s="25">
        <f t="shared" si="682"/>
        <v>0</v>
      </c>
      <c r="T125" s="25">
        <f t="shared" si="682"/>
        <v>0</v>
      </c>
      <c r="U125" s="166"/>
      <c r="V125" s="165">
        <f t="shared" ref="V125:X125" si="683">V122-V123</f>
        <v>0</v>
      </c>
      <c r="W125" s="25">
        <f t="shared" si="683"/>
        <v>0</v>
      </c>
      <c r="X125" s="25">
        <f t="shared" si="683"/>
        <v>0</v>
      </c>
      <c r="Y125" s="166"/>
      <c r="Z125" s="165">
        <f t="shared" ref="Z125:AB125" si="684">Z122-Z123</f>
        <v>0</v>
      </c>
      <c r="AA125" s="25">
        <f t="shared" si="684"/>
        <v>0</v>
      </c>
      <c r="AB125" s="25">
        <f t="shared" si="684"/>
        <v>0</v>
      </c>
      <c r="AC125" s="166"/>
      <c r="AD125" s="165">
        <f t="shared" ref="AD125:AF125" si="685">AD122-AD123</f>
        <v>0</v>
      </c>
      <c r="AE125" s="25">
        <f t="shared" si="685"/>
        <v>0</v>
      </c>
      <c r="AF125" s="25">
        <f t="shared" si="685"/>
        <v>0</v>
      </c>
      <c r="AG125" s="166"/>
      <c r="AH125" s="165">
        <f t="shared" ref="AH125:AJ125" si="686">AH122-AH123</f>
        <v>0</v>
      </c>
      <c r="AI125" s="25">
        <f t="shared" si="686"/>
        <v>0</v>
      </c>
      <c r="AJ125" s="25">
        <f t="shared" si="686"/>
        <v>0</v>
      </c>
      <c r="AK125" s="166"/>
      <c r="AL125" s="165">
        <f t="shared" ref="AL125:AN125" si="687">AL122-AL123</f>
        <v>0</v>
      </c>
      <c r="AM125" s="25">
        <f t="shared" si="687"/>
        <v>0</v>
      </c>
      <c r="AN125" s="25">
        <f t="shared" si="687"/>
        <v>0</v>
      </c>
      <c r="AO125" s="166"/>
      <c r="AP125" s="165">
        <f t="shared" ref="AP125:AR125" si="688">AP122-AP123</f>
        <v>0</v>
      </c>
      <c r="AQ125" s="25">
        <f t="shared" si="688"/>
        <v>0</v>
      </c>
      <c r="AR125" s="25">
        <f t="shared" si="688"/>
        <v>0</v>
      </c>
      <c r="AS125" s="166"/>
      <c r="AT125" s="165">
        <f t="shared" ref="AT125:AV125" si="689">AT122-AT123</f>
        <v>0</v>
      </c>
      <c r="AU125" s="25">
        <f t="shared" si="689"/>
        <v>0</v>
      </c>
      <c r="AV125" s="25">
        <f t="shared" si="689"/>
        <v>0</v>
      </c>
      <c r="AW125" s="166"/>
      <c r="AX125" s="165">
        <f t="shared" ref="AX125:AZ125" si="690">AX122-AX123</f>
        <v>-11003.590000000011</v>
      </c>
      <c r="AY125" s="25">
        <f t="shared" si="690"/>
        <v>-21690.062800000014</v>
      </c>
      <c r="AZ125" s="166">
        <f t="shared" si="690"/>
        <v>10686.472800000003</v>
      </c>
      <c r="BA125" s="25"/>
      <c r="BB125" s="25"/>
      <c r="BC125" s="25"/>
    </row>
    <row r="126" spans="1:55" ht="13.5" thickBot="1" x14ac:dyDescent="0.25">
      <c r="A126" s="120"/>
      <c r="B126" s="67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68"/>
    </row>
    <row r="127" spans="1:55" s="6" customFormat="1" ht="14.45" customHeight="1" x14ac:dyDescent="0.2">
      <c r="A127" s="121" t="s">
        <v>245</v>
      </c>
      <c r="B127" s="146"/>
      <c r="C127" s="147"/>
      <c r="D127" s="147"/>
      <c r="E127" s="148"/>
      <c r="F127" s="146"/>
      <c r="G127" s="147"/>
      <c r="H127" s="147"/>
      <c r="I127" s="148"/>
      <c r="J127" s="146"/>
      <c r="K127" s="147"/>
      <c r="L127" s="147"/>
      <c r="M127" s="148"/>
      <c r="N127" s="146"/>
      <c r="O127" s="147"/>
      <c r="P127" s="147"/>
      <c r="Q127" s="148"/>
      <c r="R127" s="146"/>
      <c r="S127" s="147"/>
      <c r="T127" s="147"/>
      <c r="U127" s="148"/>
      <c r="V127" s="146"/>
      <c r="W127" s="147"/>
      <c r="X127" s="147"/>
      <c r="Y127" s="148"/>
      <c r="Z127" s="146"/>
      <c r="AA127" s="147"/>
      <c r="AB127" s="147"/>
      <c r="AC127" s="148"/>
      <c r="AD127" s="146"/>
      <c r="AE127" s="147"/>
      <c r="AF127" s="147"/>
      <c r="AG127" s="148"/>
      <c r="AH127" s="146"/>
      <c r="AI127" s="147"/>
      <c r="AJ127" s="147"/>
      <c r="AK127" s="148"/>
      <c r="AL127" s="146"/>
      <c r="AM127" s="147"/>
      <c r="AN127" s="147"/>
      <c r="AO127" s="148"/>
      <c r="AP127" s="146"/>
      <c r="AQ127" s="147"/>
      <c r="AR127" s="147"/>
      <c r="AS127" s="148"/>
      <c r="AT127" s="146"/>
      <c r="AU127" s="147"/>
      <c r="AV127" s="147"/>
      <c r="AW127" s="148"/>
      <c r="AX127" s="146"/>
      <c r="AY127" s="147"/>
      <c r="AZ127" s="148"/>
    </row>
    <row r="128" spans="1:55" x14ac:dyDescent="0.2">
      <c r="A128" s="122" t="s">
        <v>247</v>
      </c>
      <c r="B128" s="190">
        <v>-2250</v>
      </c>
      <c r="C128" s="191"/>
      <c r="D128" s="191"/>
      <c r="E128" s="192"/>
      <c r="F128" s="190">
        <f>-572-450-951.17</f>
        <v>-1973.17</v>
      </c>
      <c r="G128" s="191"/>
      <c r="H128" s="191"/>
      <c r="I128" s="192"/>
      <c r="J128" s="190">
        <f>-450-1917-1647.26</f>
        <v>-4014.26</v>
      </c>
      <c r="K128" s="191"/>
      <c r="L128" s="191"/>
      <c r="M128" s="192"/>
      <c r="N128" s="190"/>
      <c r="O128" s="191"/>
      <c r="P128" s="191"/>
      <c r="Q128" s="192"/>
      <c r="R128" s="190"/>
      <c r="S128" s="191"/>
      <c r="T128" s="191"/>
      <c r="U128" s="192"/>
      <c r="V128" s="190"/>
      <c r="W128" s="191"/>
      <c r="X128" s="191"/>
      <c r="Y128" s="192"/>
      <c r="Z128" s="190"/>
      <c r="AA128" s="191"/>
      <c r="AB128" s="191"/>
      <c r="AC128" s="192"/>
      <c r="AD128" s="190"/>
      <c r="AE128" s="191"/>
      <c r="AF128" s="191"/>
      <c r="AG128" s="192"/>
      <c r="AH128" s="190"/>
      <c r="AI128" s="191"/>
      <c r="AJ128" s="191"/>
      <c r="AK128" s="192"/>
      <c r="AL128" s="190"/>
      <c r="AM128" s="191"/>
      <c r="AN128" s="191"/>
      <c r="AO128" s="192"/>
      <c r="AP128" s="190"/>
      <c r="AQ128" s="191"/>
      <c r="AR128" s="191"/>
      <c r="AS128" s="192"/>
      <c r="AT128" s="190"/>
      <c r="AU128" s="191"/>
      <c r="AV128" s="191"/>
      <c r="AW128" s="192"/>
      <c r="AX128" s="190"/>
      <c r="AY128" s="191"/>
      <c r="AZ128" s="192"/>
    </row>
    <row r="129" spans="1:52" x14ac:dyDescent="0.2">
      <c r="A129" s="122" t="s">
        <v>359</v>
      </c>
      <c r="B129" s="190"/>
      <c r="C129" s="191"/>
      <c r="D129" s="191"/>
      <c r="E129" s="192"/>
      <c r="F129" s="190">
        <v>-164.49</v>
      </c>
      <c r="G129" s="191"/>
      <c r="H129" s="191"/>
      <c r="I129" s="192"/>
      <c r="J129" s="190">
        <v>5061.3900000000003</v>
      </c>
      <c r="K129" s="191"/>
      <c r="L129" s="191"/>
      <c r="M129" s="192"/>
      <c r="N129" s="190"/>
      <c r="O129" s="191"/>
      <c r="P129" s="191"/>
      <c r="Q129" s="192"/>
      <c r="R129" s="190"/>
      <c r="S129" s="191"/>
      <c r="T129" s="191"/>
      <c r="U129" s="192"/>
      <c r="V129" s="190"/>
      <c r="W129" s="191"/>
      <c r="X129" s="191"/>
      <c r="Y129" s="192"/>
      <c r="Z129" s="190"/>
      <c r="AA129" s="191"/>
      <c r="AB129" s="191"/>
      <c r="AC129" s="192"/>
      <c r="AD129" s="190"/>
      <c r="AE129" s="191"/>
      <c r="AF129" s="191"/>
      <c r="AG129" s="192"/>
      <c r="AH129" s="190"/>
      <c r="AI129" s="191"/>
      <c r="AJ129" s="191"/>
      <c r="AK129" s="192"/>
      <c r="AL129" s="190"/>
      <c r="AM129" s="191"/>
      <c r="AN129" s="191"/>
      <c r="AO129" s="192"/>
      <c r="AP129" s="190"/>
      <c r="AQ129" s="191"/>
      <c r="AR129" s="191"/>
      <c r="AS129" s="192"/>
      <c r="AT129" s="190"/>
      <c r="AU129" s="191"/>
      <c r="AV129" s="191"/>
      <c r="AW129" s="192"/>
      <c r="AX129" s="190"/>
      <c r="AY129" s="191"/>
      <c r="AZ129" s="192"/>
    </row>
    <row r="130" spans="1:52" x14ac:dyDescent="0.2">
      <c r="A130" s="122" t="s">
        <v>246</v>
      </c>
      <c r="B130" s="190">
        <f>-1500-1259.26</f>
        <v>-2759.26</v>
      </c>
      <c r="C130" s="191"/>
      <c r="D130" s="191"/>
      <c r="E130" s="192"/>
      <c r="F130" s="190">
        <v>-1542.71</v>
      </c>
      <c r="G130" s="191"/>
      <c r="H130" s="191"/>
      <c r="I130" s="192"/>
      <c r="J130" s="190">
        <f>-9999-2437.38-3850.5-2843.26</f>
        <v>-19130.14</v>
      </c>
      <c r="K130" s="191"/>
      <c r="L130" s="191"/>
      <c r="M130" s="192"/>
      <c r="N130" s="190"/>
      <c r="O130" s="191"/>
      <c r="P130" s="191"/>
      <c r="Q130" s="192"/>
      <c r="R130" s="190"/>
      <c r="S130" s="191"/>
      <c r="T130" s="191"/>
      <c r="U130" s="192"/>
      <c r="V130" s="190"/>
      <c r="W130" s="191"/>
      <c r="X130" s="191"/>
      <c r="Y130" s="192"/>
      <c r="Z130" s="190"/>
      <c r="AA130" s="191"/>
      <c r="AB130" s="191"/>
      <c r="AC130" s="192"/>
      <c r="AD130" s="190"/>
      <c r="AE130" s="191"/>
      <c r="AF130" s="191"/>
      <c r="AG130" s="192"/>
      <c r="AH130" s="190"/>
      <c r="AI130" s="191"/>
      <c r="AJ130" s="191"/>
      <c r="AK130" s="192"/>
      <c r="AL130" s="190"/>
      <c r="AM130" s="191"/>
      <c r="AN130" s="191"/>
      <c r="AO130" s="192"/>
      <c r="AP130" s="190"/>
      <c r="AQ130" s="191"/>
      <c r="AR130" s="191"/>
      <c r="AS130" s="192"/>
      <c r="AT130" s="190"/>
      <c r="AU130" s="191"/>
      <c r="AV130" s="191"/>
      <c r="AW130" s="192"/>
      <c r="AX130" s="190"/>
      <c r="AY130" s="191"/>
      <c r="AZ130" s="192"/>
    </row>
    <row r="131" spans="1:52" x14ac:dyDescent="0.2">
      <c r="A131" s="122"/>
      <c r="B131" s="190"/>
      <c r="C131" s="191"/>
      <c r="D131" s="191"/>
      <c r="E131" s="192"/>
      <c r="F131" s="190"/>
      <c r="G131" s="191"/>
      <c r="H131" s="191"/>
      <c r="I131" s="192"/>
      <c r="J131" s="190"/>
      <c r="K131" s="191"/>
      <c r="L131" s="191"/>
      <c r="M131" s="192"/>
      <c r="N131" s="190"/>
      <c r="O131" s="191"/>
      <c r="P131" s="191"/>
      <c r="Q131" s="192"/>
      <c r="R131" s="190"/>
      <c r="S131" s="191"/>
      <c r="T131" s="191"/>
      <c r="U131" s="192"/>
      <c r="V131" s="190"/>
      <c r="W131" s="191"/>
      <c r="X131" s="191"/>
      <c r="Y131" s="192"/>
      <c r="Z131" s="190"/>
      <c r="AA131" s="191"/>
      <c r="AB131" s="191"/>
      <c r="AC131" s="192"/>
      <c r="AD131" s="190"/>
      <c r="AE131" s="191"/>
      <c r="AF131" s="191"/>
      <c r="AG131" s="192"/>
      <c r="AH131" s="190"/>
      <c r="AI131" s="191"/>
      <c r="AJ131" s="191"/>
      <c r="AK131" s="192"/>
      <c r="AL131" s="190"/>
      <c r="AM131" s="191"/>
      <c r="AN131" s="191"/>
      <c r="AO131" s="192"/>
      <c r="AP131" s="190"/>
      <c r="AQ131" s="191"/>
      <c r="AR131" s="191"/>
      <c r="AS131" s="192"/>
      <c r="AT131" s="190"/>
      <c r="AU131" s="191"/>
      <c r="AV131" s="191"/>
      <c r="AW131" s="192"/>
      <c r="AX131" s="190"/>
      <c r="AY131" s="191"/>
      <c r="AZ131" s="192"/>
    </row>
    <row r="132" spans="1:52" s="6" customFormat="1" ht="13.5" thickBot="1" x14ac:dyDescent="0.25">
      <c r="A132" s="123" t="s">
        <v>16</v>
      </c>
      <c r="B132" s="69">
        <f>SUM(B128:B131)</f>
        <v>-5009.26</v>
      </c>
      <c r="C132" s="28"/>
      <c r="D132" s="28"/>
      <c r="E132" s="70"/>
      <c r="F132" s="69">
        <f>SUM(F128:F131)</f>
        <v>-3680.37</v>
      </c>
      <c r="G132" s="28"/>
      <c r="H132" s="28"/>
      <c r="I132" s="70"/>
      <c r="J132" s="69">
        <f>SUM(J128:J131)</f>
        <v>-18083.009999999998</v>
      </c>
      <c r="K132" s="28"/>
      <c r="L132" s="28"/>
      <c r="M132" s="70"/>
      <c r="N132" s="69">
        <f>SUM(N128:N131)</f>
        <v>0</v>
      </c>
      <c r="O132" s="28"/>
      <c r="P132" s="28"/>
      <c r="Q132" s="70"/>
      <c r="R132" s="69">
        <f>SUM(R128:R131)</f>
        <v>0</v>
      </c>
      <c r="S132" s="28"/>
      <c r="T132" s="28"/>
      <c r="U132" s="70"/>
      <c r="V132" s="69">
        <f>SUM(V128:V131)</f>
        <v>0</v>
      </c>
      <c r="W132" s="28"/>
      <c r="X132" s="28"/>
      <c r="Y132" s="70"/>
      <c r="Z132" s="69">
        <f>SUM(Z128:Z131)</f>
        <v>0</v>
      </c>
      <c r="AA132" s="28"/>
      <c r="AB132" s="28"/>
      <c r="AC132" s="70"/>
      <c r="AD132" s="69">
        <f>SUM(AD128:AD131)</f>
        <v>0</v>
      </c>
      <c r="AE132" s="28"/>
      <c r="AF132" s="28"/>
      <c r="AG132" s="70"/>
      <c r="AH132" s="69">
        <f>SUM(AH128:AH131)</f>
        <v>0</v>
      </c>
      <c r="AI132" s="28"/>
      <c r="AJ132" s="28"/>
      <c r="AK132" s="70"/>
      <c r="AL132" s="69">
        <f>SUM(AL128:AL131)</f>
        <v>0</v>
      </c>
      <c r="AM132" s="28"/>
      <c r="AN132" s="28"/>
      <c r="AO132" s="70"/>
      <c r="AP132" s="69">
        <f>SUM(AP128:AP131)</f>
        <v>0</v>
      </c>
      <c r="AQ132" s="28"/>
      <c r="AR132" s="28"/>
      <c r="AS132" s="70"/>
      <c r="AT132" s="69">
        <f>SUM(AT128:AT131)</f>
        <v>0</v>
      </c>
      <c r="AU132" s="28"/>
      <c r="AV132" s="28"/>
      <c r="AW132" s="70"/>
      <c r="AX132" s="69"/>
      <c r="AY132" s="28"/>
      <c r="AZ132" s="70"/>
    </row>
    <row r="133" spans="1:52" s="6" customFormat="1" ht="13.5" thickBot="1" x14ac:dyDescent="0.25">
      <c r="A133" s="124"/>
      <c r="B133" s="51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2"/>
    </row>
    <row r="134" spans="1:52" s="6" customFormat="1" x14ac:dyDescent="0.2">
      <c r="A134" s="152" t="s">
        <v>153</v>
      </c>
      <c r="B134" s="149">
        <v>-1512.87</v>
      </c>
      <c r="C134" s="150"/>
      <c r="D134" s="150"/>
      <c r="E134" s="151"/>
      <c r="F134" s="149">
        <f>B139</f>
        <v>-4376.3500000000004</v>
      </c>
      <c r="G134" s="150"/>
      <c r="H134" s="150"/>
      <c r="I134" s="151"/>
      <c r="J134" s="149">
        <f>F139</f>
        <v>-4273.29</v>
      </c>
      <c r="K134" s="150"/>
      <c r="L134" s="150"/>
      <c r="M134" s="151"/>
      <c r="N134" s="149">
        <f>J139</f>
        <v>10289.39</v>
      </c>
      <c r="O134" s="150"/>
      <c r="P134" s="150"/>
      <c r="Q134" s="151"/>
      <c r="R134" s="149">
        <f>N139</f>
        <v>0</v>
      </c>
      <c r="S134" s="150"/>
      <c r="T134" s="150"/>
      <c r="U134" s="151"/>
      <c r="V134" s="149">
        <f>R139</f>
        <v>0</v>
      </c>
      <c r="W134" s="150"/>
      <c r="X134" s="150"/>
      <c r="Y134" s="151"/>
      <c r="Z134" s="149">
        <f>V139</f>
        <v>0</v>
      </c>
      <c r="AA134" s="150"/>
      <c r="AB134" s="150"/>
      <c r="AC134" s="151"/>
      <c r="AD134" s="149">
        <f>Z139</f>
        <v>0</v>
      </c>
      <c r="AE134" s="150"/>
      <c r="AF134" s="150"/>
      <c r="AG134" s="151"/>
      <c r="AH134" s="149">
        <f>AD139</f>
        <v>0</v>
      </c>
      <c r="AI134" s="150"/>
      <c r="AJ134" s="150"/>
      <c r="AK134" s="151"/>
      <c r="AL134" s="149">
        <f>AH139</f>
        <v>0</v>
      </c>
      <c r="AM134" s="150"/>
      <c r="AN134" s="150"/>
      <c r="AO134" s="151"/>
      <c r="AP134" s="149">
        <f>AL139</f>
        <v>0</v>
      </c>
      <c r="AQ134" s="150"/>
      <c r="AR134" s="150"/>
      <c r="AS134" s="151"/>
      <c r="AT134" s="149">
        <f>AP139</f>
        <v>0</v>
      </c>
      <c r="AU134" s="150"/>
      <c r="AV134" s="150"/>
      <c r="AW134" s="151"/>
      <c r="AX134" s="149"/>
      <c r="AY134" s="150"/>
      <c r="AZ134" s="151"/>
    </row>
    <row r="135" spans="1:52" s="6" customFormat="1" x14ac:dyDescent="0.2">
      <c r="A135" s="124" t="s">
        <v>154</v>
      </c>
      <c r="B135" s="51">
        <v>473.32</v>
      </c>
      <c r="C135" s="5"/>
      <c r="D135" s="5"/>
      <c r="E135" s="52"/>
      <c r="F135" s="51">
        <f>B140</f>
        <v>5.57</v>
      </c>
      <c r="G135" s="5"/>
      <c r="H135" s="5"/>
      <c r="I135" s="52"/>
      <c r="J135" s="51">
        <f>F140</f>
        <v>6132.52</v>
      </c>
      <c r="K135" s="5"/>
      <c r="L135" s="5"/>
      <c r="M135" s="52"/>
      <c r="N135" s="51">
        <f>J140</f>
        <v>4440.1099999999997</v>
      </c>
      <c r="O135" s="5"/>
      <c r="P135" s="5"/>
      <c r="Q135" s="52"/>
      <c r="R135" s="51">
        <f>N140</f>
        <v>0</v>
      </c>
      <c r="S135" s="5"/>
      <c r="T135" s="5"/>
      <c r="U135" s="52"/>
      <c r="V135" s="51">
        <f>R140</f>
        <v>0</v>
      </c>
      <c r="W135" s="5"/>
      <c r="X135" s="5"/>
      <c r="Y135" s="52"/>
      <c r="Z135" s="51">
        <f>V140</f>
        <v>0</v>
      </c>
      <c r="AA135" s="5"/>
      <c r="AB135" s="5"/>
      <c r="AC135" s="52"/>
      <c r="AD135" s="51">
        <f>Z140</f>
        <v>0</v>
      </c>
      <c r="AE135" s="5"/>
      <c r="AF135" s="5"/>
      <c r="AG135" s="52"/>
      <c r="AH135" s="51">
        <f>AD140</f>
        <v>0</v>
      </c>
      <c r="AI135" s="5"/>
      <c r="AJ135" s="5"/>
      <c r="AK135" s="52"/>
      <c r="AL135" s="51">
        <f>AH140</f>
        <v>0</v>
      </c>
      <c r="AM135" s="5"/>
      <c r="AN135" s="5"/>
      <c r="AO135" s="52"/>
      <c r="AP135" s="51">
        <f>AL140</f>
        <v>0</v>
      </c>
      <c r="AQ135" s="5"/>
      <c r="AR135" s="5"/>
      <c r="AS135" s="52"/>
      <c r="AT135" s="51">
        <f>AP140</f>
        <v>0</v>
      </c>
      <c r="AU135" s="5"/>
      <c r="AV135" s="5"/>
      <c r="AW135" s="52"/>
      <c r="AX135" s="51"/>
      <c r="AY135" s="5"/>
      <c r="AZ135" s="52"/>
    </row>
    <row r="136" spans="1:52" s="6" customFormat="1" x14ac:dyDescent="0.2">
      <c r="A136" s="124" t="s">
        <v>125</v>
      </c>
      <c r="B136" s="51"/>
      <c r="C136" s="5"/>
      <c r="D136" s="5"/>
      <c r="E136" s="52"/>
      <c r="F136" s="51"/>
      <c r="G136" s="5"/>
      <c r="H136" s="5"/>
      <c r="I136" s="52"/>
      <c r="J136" s="51"/>
      <c r="K136" s="5"/>
      <c r="L136" s="5"/>
      <c r="M136" s="52"/>
      <c r="N136" s="51"/>
      <c r="O136" s="5"/>
      <c r="P136" s="5"/>
      <c r="Q136" s="52"/>
      <c r="R136" s="51"/>
      <c r="S136" s="5"/>
      <c r="T136" s="5"/>
      <c r="U136" s="52"/>
      <c r="V136" s="51"/>
      <c r="W136" s="5"/>
      <c r="X136" s="5"/>
      <c r="Y136" s="52"/>
      <c r="Z136" s="51"/>
      <c r="AA136" s="5"/>
      <c r="AB136" s="5"/>
      <c r="AC136" s="52"/>
      <c r="AD136" s="51"/>
      <c r="AE136" s="5"/>
      <c r="AF136" s="5"/>
      <c r="AG136" s="52"/>
      <c r="AH136" s="51"/>
      <c r="AI136" s="5"/>
      <c r="AJ136" s="5"/>
      <c r="AK136" s="52"/>
      <c r="AL136" s="51"/>
      <c r="AM136" s="5"/>
      <c r="AN136" s="5"/>
      <c r="AO136" s="52"/>
      <c r="AP136" s="51"/>
      <c r="AQ136" s="5"/>
      <c r="AR136" s="5"/>
      <c r="AS136" s="52"/>
      <c r="AT136" s="51"/>
      <c r="AU136" s="5"/>
      <c r="AV136" s="5"/>
      <c r="AW136" s="52"/>
      <c r="AX136" s="51"/>
      <c r="AY136" s="5"/>
      <c r="AZ136" s="52"/>
    </row>
    <row r="137" spans="1:52" s="6" customFormat="1" x14ac:dyDescent="0.2">
      <c r="A137" s="124" t="s">
        <v>126</v>
      </c>
      <c r="B137" s="51"/>
      <c r="C137" s="5"/>
      <c r="D137" s="5"/>
      <c r="E137" s="52"/>
      <c r="F137" s="51"/>
      <c r="G137" s="5"/>
      <c r="H137" s="5"/>
      <c r="I137" s="52"/>
      <c r="J137" s="51"/>
      <c r="K137" s="5"/>
      <c r="L137" s="5"/>
      <c r="M137" s="52"/>
      <c r="N137" s="51"/>
      <c r="O137" s="5"/>
      <c r="P137" s="5"/>
      <c r="Q137" s="52"/>
      <c r="R137" s="51"/>
      <c r="S137" s="5"/>
      <c r="T137" s="5"/>
      <c r="U137" s="52"/>
      <c r="V137" s="51"/>
      <c r="W137" s="5"/>
      <c r="X137" s="5"/>
      <c r="Y137" s="52"/>
      <c r="Z137" s="51"/>
      <c r="AA137" s="5"/>
      <c r="AB137" s="5"/>
      <c r="AC137" s="52"/>
      <c r="AD137" s="51"/>
      <c r="AE137" s="5"/>
      <c r="AF137" s="5"/>
      <c r="AG137" s="52"/>
      <c r="AH137" s="51"/>
      <c r="AI137" s="5"/>
      <c r="AJ137" s="5"/>
      <c r="AK137" s="52"/>
      <c r="AL137" s="51"/>
      <c r="AM137" s="5"/>
      <c r="AN137" s="5"/>
      <c r="AO137" s="52"/>
      <c r="AP137" s="51"/>
      <c r="AQ137" s="5"/>
      <c r="AR137" s="5"/>
      <c r="AS137" s="52"/>
      <c r="AT137" s="51"/>
      <c r="AU137" s="5"/>
      <c r="AV137" s="5"/>
      <c r="AW137" s="52"/>
      <c r="AX137" s="51"/>
      <c r="AY137" s="5"/>
      <c r="AZ137" s="52"/>
    </row>
    <row r="138" spans="1:52" s="6" customFormat="1" x14ac:dyDescent="0.2">
      <c r="A138" s="124" t="s">
        <v>127</v>
      </c>
      <c r="B138" s="51">
        <f>B134+B135+B125-B136+B137-B132</f>
        <v>-4370.7800000000007</v>
      </c>
      <c r="C138" s="5"/>
      <c r="D138" s="5"/>
      <c r="E138" s="52"/>
      <c r="F138" s="51">
        <f>F134+F135+F125-F136+F137-F132</f>
        <v>1859.2299999999877</v>
      </c>
      <c r="G138" s="5"/>
      <c r="H138" s="5"/>
      <c r="I138" s="52"/>
      <c r="J138" s="51">
        <f>J134+J135+J125-J136+J137-J132</f>
        <v>14729.499999999993</v>
      </c>
      <c r="K138" s="5"/>
      <c r="L138" s="5"/>
      <c r="M138" s="52"/>
      <c r="N138" s="51">
        <f>N134+N135+N125-N136+N137-N132</f>
        <v>14729.5</v>
      </c>
      <c r="O138" s="5"/>
      <c r="P138" s="5"/>
      <c r="Q138" s="52"/>
      <c r="R138" s="51">
        <f>R134+R135+R125-R136+R137-R132</f>
        <v>0</v>
      </c>
      <c r="S138" s="5"/>
      <c r="T138" s="5"/>
      <c r="U138" s="52"/>
      <c r="V138" s="51">
        <f>V134+V135+V125-V136+V137-V132</f>
        <v>0</v>
      </c>
      <c r="W138" s="5"/>
      <c r="X138" s="5"/>
      <c r="Y138" s="52"/>
      <c r="Z138" s="51">
        <f>Z134+Z135+Z125-Z136+Z137-Z132</f>
        <v>0</v>
      </c>
      <c r="AA138" s="5"/>
      <c r="AB138" s="5"/>
      <c r="AC138" s="52"/>
      <c r="AD138" s="51">
        <f>AD134+AD135+AD125-AD136+AD137-AD132</f>
        <v>0</v>
      </c>
      <c r="AE138" s="5"/>
      <c r="AF138" s="5"/>
      <c r="AG138" s="52"/>
      <c r="AH138" s="51">
        <f>AH134+AH135+AH125-AH136+AH137-AH132</f>
        <v>0</v>
      </c>
      <c r="AI138" s="5"/>
      <c r="AJ138" s="5"/>
      <c r="AK138" s="52"/>
      <c r="AL138" s="51">
        <f>AL134+AL135+AL125-AL136+AL137-AL132</f>
        <v>0</v>
      </c>
      <c r="AM138" s="5"/>
      <c r="AN138" s="5"/>
      <c r="AO138" s="52"/>
      <c r="AP138" s="51">
        <f>AP134+AP135+AP125-AP136+AP137-AP132</f>
        <v>0</v>
      </c>
      <c r="AQ138" s="5"/>
      <c r="AR138" s="5"/>
      <c r="AS138" s="52"/>
      <c r="AT138" s="51">
        <f>AT134+AT135+AT125-AT136+AT137-AT132</f>
        <v>0</v>
      </c>
      <c r="AU138" s="5"/>
      <c r="AV138" s="5"/>
      <c r="AW138" s="52"/>
      <c r="AX138" s="51"/>
      <c r="AY138" s="5"/>
      <c r="AZ138" s="52"/>
    </row>
    <row r="139" spans="1:52" s="6" customFormat="1" x14ac:dyDescent="0.2">
      <c r="A139" s="124" t="s">
        <v>155</v>
      </c>
      <c r="B139" s="51">
        <v>-4376.3500000000004</v>
      </c>
      <c r="C139" s="5"/>
      <c r="D139" s="5"/>
      <c r="E139" s="52"/>
      <c r="F139" s="51">
        <v>-4273.29</v>
      </c>
      <c r="G139" s="5"/>
      <c r="H139" s="5"/>
      <c r="I139" s="52"/>
      <c r="J139" s="51">
        <v>10289.39</v>
      </c>
      <c r="K139" s="5"/>
      <c r="L139" s="5"/>
      <c r="M139" s="52"/>
      <c r="N139" s="51"/>
      <c r="O139" s="5"/>
      <c r="P139" s="5"/>
      <c r="Q139" s="52"/>
      <c r="R139" s="51"/>
      <c r="S139" s="5"/>
      <c r="T139" s="5"/>
      <c r="U139" s="52"/>
      <c r="V139" s="51"/>
      <c r="W139" s="5"/>
      <c r="X139" s="5"/>
      <c r="Y139" s="52"/>
      <c r="Z139" s="51"/>
      <c r="AA139" s="5"/>
      <c r="AB139" s="5"/>
      <c r="AC139" s="52"/>
      <c r="AD139" s="51"/>
      <c r="AE139" s="5"/>
      <c r="AF139" s="5"/>
      <c r="AG139" s="52"/>
      <c r="AH139" s="51"/>
      <c r="AI139" s="5"/>
      <c r="AJ139" s="5"/>
      <c r="AK139" s="52"/>
      <c r="AL139" s="51"/>
      <c r="AM139" s="5"/>
      <c r="AN139" s="5"/>
      <c r="AO139" s="52"/>
      <c r="AP139" s="51"/>
      <c r="AQ139" s="5"/>
      <c r="AR139" s="5"/>
      <c r="AS139" s="52"/>
      <c r="AT139" s="51"/>
      <c r="AU139" s="5"/>
      <c r="AV139" s="5"/>
      <c r="AW139" s="52"/>
      <c r="AX139" s="51"/>
      <c r="AY139" s="5"/>
      <c r="AZ139" s="52"/>
    </row>
    <row r="140" spans="1:52" s="6" customFormat="1" x14ac:dyDescent="0.2">
      <c r="A140" s="124" t="s">
        <v>156</v>
      </c>
      <c r="B140" s="51">
        <v>5.57</v>
      </c>
      <c r="C140" s="5"/>
      <c r="D140" s="5"/>
      <c r="E140" s="52"/>
      <c r="F140" s="51">
        <v>6132.52</v>
      </c>
      <c r="G140" s="5"/>
      <c r="H140" s="5"/>
      <c r="I140" s="52"/>
      <c r="J140" s="51">
        <v>4440.1099999999997</v>
      </c>
      <c r="K140" s="5"/>
      <c r="L140" s="5"/>
      <c r="M140" s="52"/>
      <c r="N140" s="51"/>
      <c r="O140" s="5"/>
      <c r="P140" s="5"/>
      <c r="Q140" s="52"/>
      <c r="R140" s="51"/>
      <c r="S140" s="5"/>
      <c r="T140" s="5"/>
      <c r="U140" s="52"/>
      <c r="V140" s="51"/>
      <c r="W140" s="5"/>
      <c r="X140" s="5"/>
      <c r="Y140" s="52"/>
      <c r="Z140" s="51"/>
      <c r="AA140" s="5"/>
      <c r="AB140" s="5"/>
      <c r="AC140" s="52"/>
      <c r="AD140" s="51"/>
      <c r="AE140" s="5"/>
      <c r="AF140" s="5"/>
      <c r="AG140" s="52"/>
      <c r="AH140" s="51"/>
      <c r="AI140" s="5"/>
      <c r="AJ140" s="5"/>
      <c r="AK140" s="52"/>
      <c r="AL140" s="51"/>
      <c r="AM140" s="5"/>
      <c r="AN140" s="5"/>
      <c r="AO140" s="52"/>
      <c r="AP140" s="51"/>
      <c r="AQ140" s="5"/>
      <c r="AR140" s="5"/>
      <c r="AS140" s="52"/>
      <c r="AT140" s="51"/>
      <c r="AU140" s="5"/>
      <c r="AV140" s="5"/>
      <c r="AW140" s="52"/>
      <c r="AX140" s="51"/>
      <c r="AY140" s="5"/>
      <c r="AZ140" s="52"/>
    </row>
    <row r="141" spans="1:52" s="6" customFormat="1" x14ac:dyDescent="0.2">
      <c r="A141" s="124" t="s">
        <v>157</v>
      </c>
      <c r="B141" s="51">
        <f>B138-B139-B140</f>
        <v>-2.9132252166164108E-13</v>
      </c>
      <c r="C141" s="5"/>
      <c r="D141" s="5"/>
      <c r="E141" s="52"/>
      <c r="F141" s="51">
        <f>F138-F139-F140</f>
        <v>-1.2732925824820995E-11</v>
      </c>
      <c r="G141" s="5"/>
      <c r="H141" s="5"/>
      <c r="I141" s="52"/>
      <c r="J141" s="51">
        <f>J138-J139-J140</f>
        <v>0</v>
      </c>
      <c r="K141" s="5"/>
      <c r="L141" s="5"/>
      <c r="M141" s="52"/>
      <c r="N141" s="51">
        <f>N138-N139-N140</f>
        <v>14729.5</v>
      </c>
      <c r="O141" s="5"/>
      <c r="P141" s="5"/>
      <c r="Q141" s="52"/>
      <c r="R141" s="51">
        <f>R138-R139-R140</f>
        <v>0</v>
      </c>
      <c r="S141" s="5"/>
      <c r="T141" s="5"/>
      <c r="U141" s="52"/>
      <c r="V141" s="51">
        <f>V138-V139-V140</f>
        <v>0</v>
      </c>
      <c r="W141" s="5"/>
      <c r="X141" s="5"/>
      <c r="Y141" s="52"/>
      <c r="Z141" s="51">
        <f>Z138-Z139-Z140</f>
        <v>0</v>
      </c>
      <c r="AA141" s="5"/>
      <c r="AB141" s="5"/>
      <c r="AC141" s="52"/>
      <c r="AD141" s="51">
        <f>AD138-AD139-AD140</f>
        <v>0</v>
      </c>
      <c r="AE141" s="5"/>
      <c r="AF141" s="5"/>
      <c r="AG141" s="52"/>
      <c r="AH141" s="51">
        <f>AH138-AH139-AH140</f>
        <v>0</v>
      </c>
      <c r="AI141" s="5"/>
      <c r="AJ141" s="5"/>
      <c r="AK141" s="52"/>
      <c r="AL141" s="51">
        <f>AL138-AL139-AL140</f>
        <v>0</v>
      </c>
      <c r="AM141" s="5"/>
      <c r="AN141" s="5"/>
      <c r="AO141" s="52"/>
      <c r="AP141" s="51">
        <f>AP138-AP139-AP140</f>
        <v>0</v>
      </c>
      <c r="AQ141" s="5"/>
      <c r="AR141" s="5"/>
      <c r="AS141" s="52"/>
      <c r="AT141" s="51">
        <f>AT138-AT139-AT140</f>
        <v>0</v>
      </c>
      <c r="AU141" s="5"/>
      <c r="AV141" s="5"/>
      <c r="AW141" s="52"/>
      <c r="AX141" s="51"/>
      <c r="AY141" s="5"/>
      <c r="AZ141" s="52"/>
    </row>
    <row r="142" spans="1:52" ht="13.5" thickBot="1" x14ac:dyDescent="0.25">
      <c r="A142" s="120"/>
      <c r="B142" s="67"/>
      <c r="C142" s="26"/>
      <c r="D142" s="26"/>
      <c r="E142" s="68"/>
      <c r="F142" s="67"/>
      <c r="G142" s="26"/>
      <c r="H142" s="26"/>
      <c r="I142" s="68"/>
      <c r="J142" s="67"/>
      <c r="K142" s="26"/>
      <c r="L142" s="26"/>
      <c r="M142" s="68"/>
      <c r="N142" s="67"/>
      <c r="O142" s="26"/>
      <c r="P142" s="26"/>
      <c r="Q142" s="68"/>
      <c r="R142" s="67"/>
      <c r="S142" s="26"/>
      <c r="T142" s="26"/>
      <c r="U142" s="68"/>
      <c r="V142" s="67"/>
      <c r="W142" s="26"/>
      <c r="X142" s="26"/>
      <c r="Y142" s="68"/>
      <c r="Z142" s="67"/>
      <c r="AA142" s="26"/>
      <c r="AB142" s="26"/>
      <c r="AC142" s="68"/>
      <c r="AD142" s="67"/>
      <c r="AE142" s="26"/>
      <c r="AF142" s="26"/>
      <c r="AG142" s="68"/>
      <c r="AH142" s="67"/>
      <c r="AI142" s="26"/>
      <c r="AJ142" s="26"/>
      <c r="AK142" s="68"/>
      <c r="AL142" s="67"/>
      <c r="AM142" s="26"/>
      <c r="AN142" s="26"/>
      <c r="AO142" s="68"/>
      <c r="AP142" s="67"/>
      <c r="AQ142" s="26"/>
      <c r="AR142" s="26"/>
      <c r="AS142" s="68"/>
      <c r="AT142" s="67"/>
      <c r="AU142" s="26"/>
      <c r="AV142" s="26"/>
      <c r="AW142" s="68"/>
      <c r="AX142" s="67"/>
      <c r="AY142" s="26"/>
      <c r="AZ142" s="68"/>
    </row>
    <row r="143" spans="1:52" s="77" customFormat="1" x14ac:dyDescent="0.2">
      <c r="A143" s="195"/>
    </row>
    <row r="144" spans="1:52" s="77" customFormat="1" x14ac:dyDescent="0.2">
      <c r="A144" s="196" t="s">
        <v>312</v>
      </c>
      <c r="B144" s="77">
        <f>B122</f>
        <v>-8340.4900000000016</v>
      </c>
      <c r="C144" s="77">
        <f t="shared" ref="C144:D144" si="691">C122</f>
        <v>1927.0323999999964</v>
      </c>
      <c r="D144" s="77">
        <f t="shared" si="691"/>
        <v>-10267.522399999998</v>
      </c>
    </row>
    <row r="145" spans="1:21" s="77" customFormat="1" x14ac:dyDescent="0.2">
      <c r="A145" s="196" t="s">
        <v>195</v>
      </c>
      <c r="B145" s="77">
        <f t="shared" ref="B145:B155" si="692">C145+D145</f>
        <v>1550</v>
      </c>
      <c r="C145" s="77">
        <v>1550</v>
      </c>
    </row>
    <row r="146" spans="1:21" s="77" customFormat="1" x14ac:dyDescent="0.2">
      <c r="A146" s="196" t="s">
        <v>196</v>
      </c>
      <c r="B146" s="77">
        <f t="shared" si="692"/>
        <v>1130</v>
      </c>
      <c r="C146" s="77">
        <v>1130</v>
      </c>
    </row>
    <row r="147" spans="1:21" s="77" customFormat="1" x14ac:dyDescent="0.2">
      <c r="A147" s="196" t="s">
        <v>197</v>
      </c>
      <c r="B147" s="77">
        <f t="shared" si="692"/>
        <v>2100</v>
      </c>
      <c r="C147" s="77">
        <v>2100</v>
      </c>
    </row>
    <row r="148" spans="1:21" s="77" customFormat="1" x14ac:dyDescent="0.2">
      <c r="A148" s="196" t="s">
        <v>198</v>
      </c>
      <c r="B148" s="77">
        <f t="shared" si="692"/>
        <v>1510</v>
      </c>
      <c r="C148" s="77">
        <v>1510</v>
      </c>
    </row>
    <row r="149" spans="1:21" s="77" customFormat="1" x14ac:dyDescent="0.2">
      <c r="A149" s="196" t="s">
        <v>306</v>
      </c>
      <c r="B149" s="77">
        <f t="shared" si="692"/>
        <v>2940</v>
      </c>
      <c r="C149" s="77">
        <v>2940</v>
      </c>
    </row>
    <row r="150" spans="1:21" s="77" customFormat="1" x14ac:dyDescent="0.2">
      <c r="A150" s="196" t="s">
        <v>307</v>
      </c>
      <c r="B150" s="77">
        <f t="shared" si="692"/>
        <v>2940</v>
      </c>
      <c r="C150" s="77">
        <v>2940</v>
      </c>
    </row>
    <row r="151" spans="1:21" s="77" customFormat="1" x14ac:dyDescent="0.2">
      <c r="A151" s="196" t="s">
        <v>308</v>
      </c>
      <c r="B151" s="77">
        <f t="shared" si="692"/>
        <v>2940</v>
      </c>
      <c r="C151" s="77">
        <v>2940</v>
      </c>
    </row>
    <row r="152" spans="1:21" s="77" customFormat="1" x14ac:dyDescent="0.2">
      <c r="A152" s="196" t="s">
        <v>309</v>
      </c>
      <c r="B152" s="77">
        <f t="shared" si="692"/>
        <v>3180</v>
      </c>
      <c r="C152" s="77">
        <v>3180</v>
      </c>
    </row>
    <row r="153" spans="1:21" s="77" customFormat="1" x14ac:dyDescent="0.2">
      <c r="A153" s="196" t="s">
        <v>199</v>
      </c>
      <c r="B153" s="77">
        <f t="shared" si="692"/>
        <v>4720</v>
      </c>
      <c r="C153" s="77">
        <v>4720</v>
      </c>
    </row>
    <row r="154" spans="1:21" s="77" customFormat="1" x14ac:dyDescent="0.2">
      <c r="A154" s="196" t="s">
        <v>317</v>
      </c>
      <c r="B154" s="77">
        <f t="shared" si="692"/>
        <v>3493.77</v>
      </c>
      <c r="C154" s="77">
        <f>1521.98/2+(105.79*16%)</f>
        <v>777.91640000000007</v>
      </c>
      <c r="D154" s="77">
        <f>1866+(1521.98/2)+(105.79*84%)</f>
        <v>2715.8535999999999</v>
      </c>
    </row>
    <row r="155" spans="1:21" s="77" customFormat="1" x14ac:dyDescent="0.2">
      <c r="A155" s="196" t="s">
        <v>310</v>
      </c>
      <c r="B155" s="77">
        <f t="shared" si="692"/>
        <v>1091.5</v>
      </c>
      <c r="C155" s="77">
        <f>$E155*F155</f>
        <v>174.64000000000001</v>
      </c>
      <c r="D155" s="77">
        <f>$E155*G155</f>
        <v>916.86</v>
      </c>
      <c r="E155" s="77">
        <v>1091.5</v>
      </c>
      <c r="F155" s="197">
        <v>0.16</v>
      </c>
      <c r="G155" s="197">
        <v>0.84</v>
      </c>
    </row>
    <row r="156" spans="1:21" s="77" customFormat="1" x14ac:dyDescent="0.2">
      <c r="A156" s="196" t="s">
        <v>311</v>
      </c>
      <c r="B156" s="77">
        <f t="shared" ref="B156:B159" si="693">C156+D156</f>
        <v>3752.42</v>
      </c>
      <c r="C156" s="77">
        <f t="shared" ref="C156:C159" si="694">$E156*F156</f>
        <v>600.38720000000001</v>
      </c>
      <c r="D156" s="77">
        <f t="shared" ref="D156:D159" si="695">$E156*G156</f>
        <v>3152.0328</v>
      </c>
      <c r="E156" s="77">
        <v>3752.42</v>
      </c>
      <c r="F156" s="197">
        <v>0.16</v>
      </c>
      <c r="G156" s="197">
        <v>0.84</v>
      </c>
      <c r="R156" s="78"/>
      <c r="S156" s="78"/>
      <c r="T156" s="78"/>
      <c r="U156" s="78"/>
    </row>
    <row r="157" spans="1:21" s="77" customFormat="1" x14ac:dyDescent="0.2">
      <c r="A157" s="196" t="s">
        <v>311</v>
      </c>
      <c r="B157" s="77">
        <f t="shared" si="693"/>
        <v>1380.78</v>
      </c>
      <c r="C157" s="77">
        <f t="shared" si="694"/>
        <v>220.9248</v>
      </c>
      <c r="D157" s="77">
        <f t="shared" si="695"/>
        <v>1159.8552</v>
      </c>
      <c r="E157" s="77">
        <v>1380.78</v>
      </c>
      <c r="F157" s="197">
        <v>0.16</v>
      </c>
      <c r="G157" s="197">
        <v>0.84</v>
      </c>
    </row>
    <row r="158" spans="1:21" s="77" customFormat="1" x14ac:dyDescent="0.2">
      <c r="A158" s="196" t="s">
        <v>314</v>
      </c>
      <c r="B158" s="77">
        <f t="shared" si="693"/>
        <v>4979.59</v>
      </c>
      <c r="C158" s="77">
        <f t="shared" si="694"/>
        <v>1792.6523999999999</v>
      </c>
      <c r="D158" s="77">
        <f t="shared" si="695"/>
        <v>3186.9376000000002</v>
      </c>
      <c r="E158" s="77">
        <v>4979.59</v>
      </c>
      <c r="F158" s="197">
        <v>0.36</v>
      </c>
      <c r="G158" s="197">
        <v>0.64</v>
      </c>
    </row>
    <row r="159" spans="1:21" s="77" customFormat="1" x14ac:dyDescent="0.2">
      <c r="A159" s="196" t="s">
        <v>314</v>
      </c>
      <c r="B159" s="77">
        <f t="shared" si="693"/>
        <v>1030.6300000000001</v>
      </c>
      <c r="C159" s="77">
        <f t="shared" si="694"/>
        <v>371.02680000000004</v>
      </c>
      <c r="D159" s="77">
        <f t="shared" si="695"/>
        <v>659.60320000000013</v>
      </c>
      <c r="E159" s="77">
        <v>1030.6300000000001</v>
      </c>
      <c r="F159" s="197">
        <v>0.36</v>
      </c>
      <c r="G159" s="197">
        <v>0.64</v>
      </c>
    </row>
    <row r="160" spans="1:21" s="77" customFormat="1" ht="13.5" thickBot="1" x14ac:dyDescent="0.25">
      <c r="A160" s="196" t="s">
        <v>315</v>
      </c>
      <c r="B160" s="198">
        <f>-SUM(B145:B154)+B144+B155+B156+B157+B158+B159</f>
        <v>-22609.340000000004</v>
      </c>
      <c r="C160" s="198">
        <f>-SUM(C145:C154)+C144+C155+C156+C157+C158+C159</f>
        <v>-18701.252800000006</v>
      </c>
      <c r="D160" s="198">
        <f>-SUM(D145:D154)+D144+D155+D156+D157+D158+D159</f>
        <v>-3908.0871999999986</v>
      </c>
    </row>
    <row r="161" spans="1:3" s="77" customFormat="1" ht="13.5" thickTop="1" x14ac:dyDescent="0.2">
      <c r="A161" s="196"/>
    </row>
    <row r="162" spans="1:3" s="77" customFormat="1" x14ac:dyDescent="0.2">
      <c r="A162" s="196"/>
    </row>
    <row r="163" spans="1:3" s="77" customFormat="1" x14ac:dyDescent="0.2">
      <c r="A163" s="196" t="s">
        <v>318</v>
      </c>
      <c r="C163" s="77">
        <v>41903</v>
      </c>
    </row>
    <row r="164" spans="1:3" s="77" customFormat="1" x14ac:dyDescent="0.2">
      <c r="A164" s="196" t="s">
        <v>319</v>
      </c>
      <c r="C164" s="77">
        <f>C163/0.35</f>
        <v>119722.85714285714</v>
      </c>
    </row>
    <row r="165" spans="1:3" s="77" customFormat="1" x14ac:dyDescent="0.2">
      <c r="A165" s="196" t="s">
        <v>320</v>
      </c>
      <c r="C165" s="77">
        <f>C164/0.05</f>
        <v>2394457.1428571427</v>
      </c>
    </row>
    <row r="166" spans="1:3" s="77" customFormat="1" x14ac:dyDescent="0.2">
      <c r="A166" s="196"/>
    </row>
    <row r="167" spans="1:3" s="77" customFormat="1" x14ac:dyDescent="0.2">
      <c r="A167" s="196"/>
    </row>
    <row r="168" spans="1:3" s="77" customFormat="1" x14ac:dyDescent="0.2">
      <c r="A168" s="196"/>
    </row>
    <row r="169" spans="1:3" s="77" customFormat="1" x14ac:dyDescent="0.2">
      <c r="A169" s="196"/>
    </row>
    <row r="170" spans="1:3" s="77" customFormat="1" x14ac:dyDescent="0.2">
      <c r="A170" s="196"/>
    </row>
    <row r="171" spans="1:3" s="77" customFormat="1" x14ac:dyDescent="0.2">
      <c r="A171" s="196"/>
    </row>
    <row r="172" spans="1:3" s="77" customFormat="1" x14ac:dyDescent="0.2">
      <c r="A172" s="196"/>
    </row>
  </sheetData>
  <mergeCells count="13">
    <mergeCell ref="AX1:AZ1"/>
    <mergeCell ref="Z1:AC1"/>
    <mergeCell ref="AD1:AG1"/>
    <mergeCell ref="AH1:AK1"/>
    <mergeCell ref="AL1:AO1"/>
    <mergeCell ref="AP1:AS1"/>
    <mergeCell ref="AT1:AW1"/>
    <mergeCell ref="V1:Y1"/>
    <mergeCell ref="B1:E1"/>
    <mergeCell ref="F1:I1"/>
    <mergeCell ref="J1:M1"/>
    <mergeCell ref="N1:Q1"/>
    <mergeCell ref="R1:U1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GM58"/>
  <sheetViews>
    <sheetView zoomScale="106" zoomScaleNormal="106" workbookViewId="0">
      <pane xSplit="1" ySplit="2" topLeftCell="B48" activePane="bottomRight" state="frozen"/>
      <selection pane="topRight" activeCell="B1" sqref="B1"/>
      <selection pane="bottomLeft" activeCell="A3" sqref="A3"/>
      <selection pane="bottomRight" sqref="A1:XFD1048576"/>
    </sheetView>
  </sheetViews>
  <sheetFormatPr defaultColWidth="8.85546875" defaultRowHeight="12.75" x14ac:dyDescent="0.2"/>
  <cols>
    <col min="1" max="1" width="36.28515625" style="27" bestFit="1" customWidth="1"/>
    <col min="2" max="2" width="9.85546875" style="29" bestFit="1" customWidth="1"/>
    <col min="3" max="4" width="9.85546875" style="29" customWidth="1"/>
    <col min="5" max="5" width="9.85546875" style="29" hidden="1" customWidth="1"/>
    <col min="6" max="6" width="10.42578125" style="29" bestFit="1" customWidth="1"/>
    <col min="7" max="8" width="10.42578125" style="29" customWidth="1"/>
    <col min="9" max="9" width="10.42578125" style="29" hidden="1" customWidth="1"/>
    <col min="10" max="10" width="9.85546875" style="29" bestFit="1" customWidth="1"/>
    <col min="11" max="12" width="9.85546875" style="29" customWidth="1"/>
    <col min="13" max="13" width="9.85546875" style="29" hidden="1" customWidth="1"/>
    <col min="14" max="14" width="9.85546875" style="29" bestFit="1" customWidth="1"/>
    <col min="15" max="16" width="9.85546875" style="29" customWidth="1"/>
    <col min="17" max="17" width="9.85546875" style="29" hidden="1" customWidth="1"/>
    <col min="18" max="18" width="9.85546875" style="29" bestFit="1" customWidth="1"/>
    <col min="19" max="20" width="9.85546875" style="29" customWidth="1"/>
    <col min="21" max="21" width="9.85546875" style="29" hidden="1" customWidth="1"/>
    <col min="22" max="22" width="9.85546875" style="29" bestFit="1" customWidth="1"/>
    <col min="23" max="24" width="9.85546875" style="29" customWidth="1"/>
    <col min="25" max="25" width="9.85546875" style="29" hidden="1" customWidth="1"/>
    <col min="26" max="26" width="10" style="29" bestFit="1" customWidth="1"/>
    <col min="27" max="28" width="10" style="29" customWidth="1"/>
    <col min="29" max="29" width="10" style="29" hidden="1" customWidth="1"/>
    <col min="30" max="30" width="9.5703125" style="29" bestFit="1" customWidth="1"/>
    <col min="31" max="32" width="9.5703125" style="29" customWidth="1"/>
    <col min="33" max="33" width="9.5703125" style="29" hidden="1" customWidth="1"/>
    <col min="34" max="34" width="9.85546875" style="29" bestFit="1" customWidth="1"/>
    <col min="35" max="36" width="9.85546875" style="29" customWidth="1"/>
    <col min="37" max="37" width="9.85546875" style="29" hidden="1" customWidth="1"/>
    <col min="38" max="38" width="9.85546875" style="29" bestFit="1" customWidth="1"/>
    <col min="39" max="40" width="9.85546875" style="29" customWidth="1"/>
    <col min="41" max="41" width="9.85546875" style="29" hidden="1" customWidth="1"/>
    <col min="42" max="42" width="9.42578125" style="29" bestFit="1" customWidth="1"/>
    <col min="43" max="44" width="9.42578125" style="29" customWidth="1"/>
    <col min="45" max="45" width="9.42578125" style="29" hidden="1" customWidth="1"/>
    <col min="46" max="46" width="9.42578125" style="29" bestFit="1" customWidth="1"/>
    <col min="47" max="47" width="8.85546875" style="29"/>
    <col min="48" max="48" width="9.5703125" style="29" bestFit="1" customWidth="1"/>
    <col min="49" max="49" width="9.5703125" style="29" hidden="1" customWidth="1"/>
    <col min="50" max="50" width="10.7109375" style="29" bestFit="1" customWidth="1"/>
    <col min="51" max="51" width="15.7109375" style="29" bestFit="1" customWidth="1"/>
    <col min="52" max="52" width="16.7109375" style="29" bestFit="1" customWidth="1"/>
    <col min="53" max="16384" width="8.85546875" style="29"/>
  </cols>
  <sheetData>
    <row r="1" spans="1:52" s="139" customFormat="1" ht="13.5" thickBot="1" x14ac:dyDescent="0.3">
      <c r="A1" s="1"/>
      <c r="B1" s="2">
        <v>46023</v>
      </c>
      <c r="C1" s="2"/>
      <c r="D1" s="2"/>
      <c r="E1" s="2"/>
      <c r="F1" s="2">
        <v>46054</v>
      </c>
      <c r="G1" s="1"/>
      <c r="H1" s="2"/>
      <c r="I1" s="2"/>
      <c r="J1" s="2">
        <v>46082</v>
      </c>
      <c r="K1" s="2"/>
      <c r="L1" s="2"/>
      <c r="M1" s="2"/>
      <c r="N1" s="2">
        <v>46113</v>
      </c>
      <c r="O1" s="2"/>
      <c r="P1" s="2"/>
      <c r="Q1" s="2"/>
      <c r="R1" s="2">
        <v>46143</v>
      </c>
      <c r="S1" s="2"/>
      <c r="T1" s="2"/>
      <c r="U1" s="2"/>
      <c r="V1" s="2">
        <v>46174</v>
      </c>
      <c r="W1" s="2"/>
      <c r="X1" s="2"/>
      <c r="Y1" s="2"/>
      <c r="Z1" s="2">
        <v>46204</v>
      </c>
      <c r="AA1" s="2"/>
      <c r="AB1" s="2"/>
      <c r="AC1" s="2"/>
      <c r="AD1" s="2">
        <v>46235</v>
      </c>
      <c r="AE1" s="2"/>
      <c r="AF1" s="2"/>
      <c r="AG1" s="2"/>
      <c r="AH1" s="2">
        <v>46266</v>
      </c>
      <c r="AI1" s="2"/>
      <c r="AJ1" s="2"/>
      <c r="AK1" s="2"/>
      <c r="AL1" s="2">
        <v>46296</v>
      </c>
      <c r="AM1" s="2"/>
      <c r="AN1" s="2"/>
      <c r="AO1" s="2"/>
      <c r="AP1" s="2">
        <v>46327</v>
      </c>
      <c r="AQ1" s="2"/>
      <c r="AR1" s="2"/>
      <c r="AS1" s="2"/>
      <c r="AT1" s="2">
        <v>46357</v>
      </c>
      <c r="AU1" s="2"/>
      <c r="AV1" s="2"/>
      <c r="AW1" s="2"/>
      <c r="AX1" s="1"/>
      <c r="AY1" s="1" t="s">
        <v>0</v>
      </c>
      <c r="AZ1" s="1" t="s">
        <v>1</v>
      </c>
    </row>
    <row r="2" spans="1:52" s="139" customFormat="1" x14ac:dyDescent="0.25">
      <c r="A2" s="31"/>
      <c r="B2" s="42" t="s">
        <v>16</v>
      </c>
      <c r="C2" s="43" t="s">
        <v>0</v>
      </c>
      <c r="D2" s="44" t="s">
        <v>128</v>
      </c>
      <c r="E2" s="43"/>
      <c r="F2" s="42" t="s">
        <v>16</v>
      </c>
      <c r="G2" s="43" t="s">
        <v>0</v>
      </c>
      <c r="H2" s="44" t="s">
        <v>128</v>
      </c>
      <c r="I2" s="43"/>
      <c r="J2" s="42" t="s">
        <v>16</v>
      </c>
      <c r="K2" s="43" t="s">
        <v>0</v>
      </c>
      <c r="L2" s="44" t="s">
        <v>128</v>
      </c>
      <c r="M2" s="43"/>
      <c r="N2" s="42" t="s">
        <v>16</v>
      </c>
      <c r="O2" s="43" t="s">
        <v>0</v>
      </c>
      <c r="P2" s="44" t="s">
        <v>128</v>
      </c>
      <c r="Q2" s="43"/>
      <c r="R2" s="42" t="s">
        <v>16</v>
      </c>
      <c r="S2" s="43" t="s">
        <v>0</v>
      </c>
      <c r="T2" s="44" t="s">
        <v>128</v>
      </c>
      <c r="U2" s="43"/>
      <c r="V2" s="42" t="s">
        <v>16</v>
      </c>
      <c r="W2" s="43" t="s">
        <v>0</v>
      </c>
      <c r="X2" s="44" t="s">
        <v>128</v>
      </c>
      <c r="Y2" s="43"/>
      <c r="Z2" s="42" t="s">
        <v>16</v>
      </c>
      <c r="AA2" s="43" t="s">
        <v>0</v>
      </c>
      <c r="AB2" s="44" t="s">
        <v>128</v>
      </c>
      <c r="AC2" s="43"/>
      <c r="AD2" s="42" t="s">
        <v>16</v>
      </c>
      <c r="AE2" s="43" t="s">
        <v>0</v>
      </c>
      <c r="AF2" s="44" t="s">
        <v>128</v>
      </c>
      <c r="AG2" s="43"/>
      <c r="AH2" s="42" t="s">
        <v>16</v>
      </c>
      <c r="AI2" s="43" t="s">
        <v>0</v>
      </c>
      <c r="AJ2" s="44" t="s">
        <v>128</v>
      </c>
      <c r="AK2" s="43"/>
      <c r="AL2" s="42" t="s">
        <v>16</v>
      </c>
      <c r="AM2" s="43" t="s">
        <v>0</v>
      </c>
      <c r="AN2" s="44" t="s">
        <v>128</v>
      </c>
      <c r="AO2" s="43"/>
      <c r="AP2" s="42" t="s">
        <v>16</v>
      </c>
      <c r="AQ2" s="43" t="s">
        <v>0</v>
      </c>
      <c r="AR2" s="44" t="s">
        <v>128</v>
      </c>
      <c r="AS2" s="43"/>
      <c r="AT2" s="42" t="s">
        <v>16</v>
      </c>
      <c r="AU2" s="43" t="s">
        <v>0</v>
      </c>
      <c r="AV2" s="44" t="s">
        <v>128</v>
      </c>
      <c r="AW2" s="43"/>
      <c r="AX2" s="42" t="s">
        <v>16</v>
      </c>
      <c r="AY2" s="43" t="s">
        <v>0</v>
      </c>
      <c r="AZ2" s="43" t="s">
        <v>128</v>
      </c>
    </row>
    <row r="3" spans="1:52" s="140" customFormat="1" x14ac:dyDescent="0.2">
      <c r="A3" s="32" t="s">
        <v>74</v>
      </c>
      <c r="B3" s="49"/>
      <c r="C3" s="14"/>
      <c r="D3" s="50"/>
      <c r="E3" s="14"/>
      <c r="F3" s="14"/>
      <c r="G3" s="14"/>
      <c r="H3" s="14"/>
      <c r="I3" s="14"/>
      <c r="J3" s="49"/>
      <c r="K3" s="14"/>
      <c r="L3" s="50"/>
      <c r="M3" s="14"/>
      <c r="N3" s="14"/>
      <c r="O3" s="14"/>
      <c r="P3" s="14"/>
      <c r="Q3" s="14"/>
      <c r="R3" s="49"/>
      <c r="S3" s="14"/>
      <c r="T3" s="50"/>
      <c r="U3" s="14"/>
      <c r="V3" s="14"/>
      <c r="W3" s="14"/>
      <c r="X3" s="14"/>
      <c r="Y3" s="14"/>
      <c r="Z3" s="49"/>
      <c r="AA3" s="14"/>
      <c r="AB3" s="50"/>
      <c r="AC3" s="14"/>
      <c r="AD3" s="14"/>
      <c r="AE3" s="14"/>
      <c r="AF3" s="14"/>
      <c r="AG3" s="14"/>
      <c r="AH3" s="49"/>
      <c r="AI3" s="14"/>
      <c r="AJ3" s="50"/>
      <c r="AK3" s="14"/>
      <c r="AL3" s="14"/>
      <c r="AM3" s="14"/>
      <c r="AN3" s="14"/>
      <c r="AO3" s="14"/>
      <c r="AP3" s="49"/>
      <c r="AQ3" s="14"/>
      <c r="AR3" s="50"/>
      <c r="AS3" s="14"/>
      <c r="AT3" s="14"/>
      <c r="AU3" s="14"/>
      <c r="AV3" s="14"/>
      <c r="AW3" s="14"/>
      <c r="AX3" s="49"/>
      <c r="AY3" s="14"/>
      <c r="AZ3" s="14"/>
    </row>
    <row r="4" spans="1:52" s="6" customFormat="1" x14ac:dyDescent="0.2">
      <c r="A4" s="33" t="s">
        <v>75</v>
      </c>
      <c r="B4" s="47">
        <f t="shared" ref="B4:B19" si="0">C4+D4</f>
        <v>0</v>
      </c>
      <c r="D4" s="48"/>
      <c r="F4" s="47">
        <f t="shared" ref="F4:F19" si="1">G4+H4</f>
        <v>0</v>
      </c>
      <c r="J4" s="47">
        <f t="shared" ref="J4:J19" si="2">K4+L4</f>
        <v>0</v>
      </c>
      <c r="L4" s="48"/>
      <c r="N4" s="47">
        <f t="shared" ref="N4:N19" si="3">O4+P4</f>
        <v>0</v>
      </c>
      <c r="R4" s="47">
        <f t="shared" ref="R4:R19" si="4">S4+T4</f>
        <v>0</v>
      </c>
      <c r="T4" s="48"/>
      <c r="V4" s="47">
        <f t="shared" ref="V4:V19" si="5">W4+X4</f>
        <v>0</v>
      </c>
      <c r="Z4" s="47">
        <f t="shared" ref="Z4:Z19" si="6">AA4+AB4</f>
        <v>0</v>
      </c>
      <c r="AB4" s="48"/>
      <c r="AD4" s="47">
        <f t="shared" ref="AD4:AD19" si="7">AE4+AF4</f>
        <v>0</v>
      </c>
      <c r="AH4" s="47">
        <f t="shared" ref="AH4:AH19" si="8">AI4+AJ4</f>
        <v>0</v>
      </c>
      <c r="AJ4" s="48"/>
      <c r="AL4" s="47">
        <f t="shared" ref="AL4:AL19" si="9">AM4+AN4</f>
        <v>0</v>
      </c>
      <c r="AP4" s="47">
        <f t="shared" ref="AP4:AP19" si="10">AQ4+AR4</f>
        <v>0</v>
      </c>
      <c r="AR4" s="48"/>
      <c r="AT4" s="47">
        <f t="shared" ref="AT4:AT19" si="11">AU4+AV4</f>
        <v>0</v>
      </c>
      <c r="AX4" s="47">
        <f>AY4+AZ4</f>
        <v>0</v>
      </c>
      <c r="AY4" s="6">
        <f>C4+G4+K4+O4+S4+W4+AA4+AE4+AI4+AM4+AQ4+AU4</f>
        <v>0</v>
      </c>
      <c r="AZ4" s="6">
        <f>D4+H4+L4+P4+T4+X4+AB4+AF4+AJ4+AN4+AR4+AV4</f>
        <v>0</v>
      </c>
    </row>
    <row r="5" spans="1:52" s="6" customFormat="1" x14ac:dyDescent="0.2">
      <c r="A5" s="35" t="s">
        <v>76</v>
      </c>
      <c r="B5" s="47">
        <f t="shared" si="0"/>
        <v>0</v>
      </c>
      <c r="D5" s="48"/>
      <c r="F5" s="47">
        <f t="shared" si="1"/>
        <v>0</v>
      </c>
      <c r="J5" s="47">
        <f t="shared" si="2"/>
        <v>0</v>
      </c>
      <c r="L5" s="48"/>
      <c r="N5" s="47">
        <f t="shared" si="3"/>
        <v>0</v>
      </c>
      <c r="R5" s="47">
        <f t="shared" si="4"/>
        <v>0</v>
      </c>
      <c r="T5" s="48"/>
      <c r="V5" s="47">
        <f t="shared" si="5"/>
        <v>0</v>
      </c>
      <c r="Z5" s="47">
        <f t="shared" si="6"/>
        <v>0</v>
      </c>
      <c r="AB5" s="48"/>
      <c r="AD5" s="47">
        <f t="shared" si="7"/>
        <v>0</v>
      </c>
      <c r="AH5" s="47">
        <f t="shared" si="8"/>
        <v>0</v>
      </c>
      <c r="AJ5" s="48"/>
      <c r="AL5" s="47">
        <f t="shared" si="9"/>
        <v>0</v>
      </c>
      <c r="AP5" s="47">
        <f t="shared" si="10"/>
        <v>0</v>
      </c>
      <c r="AR5" s="48"/>
      <c r="AT5" s="47">
        <f t="shared" si="11"/>
        <v>0</v>
      </c>
      <c r="AX5" s="47">
        <f t="shared" ref="AX5:AX19" si="12">AY5+AZ5</f>
        <v>0</v>
      </c>
      <c r="AY5" s="6">
        <f t="shared" ref="AY5:AY19" si="13">C5+G5+K5+O5+S5+W5+AA5+AE5+AI5+AM5+AQ5+AU5</f>
        <v>0</v>
      </c>
      <c r="AZ5" s="6">
        <f t="shared" ref="AZ5:AZ19" si="14">D5+H5+L5+P5+T5+X5+AB5+AF5+AJ5+AN5+AR5+AV5</f>
        <v>0</v>
      </c>
    </row>
    <row r="6" spans="1:52" s="6" customFormat="1" x14ac:dyDescent="0.2">
      <c r="A6" s="35" t="s">
        <v>80</v>
      </c>
      <c r="B6" s="47">
        <f t="shared" si="0"/>
        <v>0</v>
      </c>
      <c r="D6" s="48"/>
      <c r="F6" s="47">
        <f t="shared" si="1"/>
        <v>0</v>
      </c>
      <c r="J6" s="47">
        <f t="shared" si="2"/>
        <v>0</v>
      </c>
      <c r="L6" s="48"/>
      <c r="N6" s="47">
        <f t="shared" si="3"/>
        <v>0</v>
      </c>
      <c r="R6" s="47">
        <f t="shared" si="4"/>
        <v>0</v>
      </c>
      <c r="T6" s="48"/>
      <c r="V6" s="47">
        <f t="shared" si="5"/>
        <v>0</v>
      </c>
      <c r="Z6" s="47">
        <f t="shared" si="6"/>
        <v>0</v>
      </c>
      <c r="AB6" s="48"/>
      <c r="AD6" s="47">
        <f t="shared" si="7"/>
        <v>0</v>
      </c>
      <c r="AH6" s="47">
        <f t="shared" si="8"/>
        <v>0</v>
      </c>
      <c r="AJ6" s="48"/>
      <c r="AL6" s="47">
        <f t="shared" si="9"/>
        <v>0</v>
      </c>
      <c r="AP6" s="47">
        <f t="shared" si="10"/>
        <v>0</v>
      </c>
      <c r="AR6" s="48"/>
      <c r="AT6" s="47">
        <f t="shared" si="11"/>
        <v>0</v>
      </c>
      <c r="AX6" s="47">
        <f t="shared" si="12"/>
        <v>0</v>
      </c>
      <c r="AY6" s="6">
        <f t="shared" si="13"/>
        <v>0</v>
      </c>
      <c r="AZ6" s="6">
        <f t="shared" si="14"/>
        <v>0</v>
      </c>
    </row>
    <row r="7" spans="1:52" s="6" customFormat="1" x14ac:dyDescent="0.2">
      <c r="A7" s="33" t="s">
        <v>133</v>
      </c>
      <c r="B7" s="47">
        <f t="shared" si="0"/>
        <v>0</v>
      </c>
      <c r="D7" s="48"/>
      <c r="F7" s="47">
        <f t="shared" si="1"/>
        <v>0</v>
      </c>
      <c r="J7" s="47">
        <f t="shared" si="2"/>
        <v>0</v>
      </c>
      <c r="L7" s="48"/>
      <c r="N7" s="47">
        <f t="shared" si="3"/>
        <v>0</v>
      </c>
      <c r="R7" s="47">
        <f t="shared" si="4"/>
        <v>0</v>
      </c>
      <c r="T7" s="48"/>
      <c r="V7" s="47">
        <f t="shared" si="5"/>
        <v>0</v>
      </c>
      <c r="Z7" s="47">
        <f t="shared" si="6"/>
        <v>0</v>
      </c>
      <c r="AB7" s="48"/>
      <c r="AD7" s="47">
        <f t="shared" si="7"/>
        <v>0</v>
      </c>
      <c r="AH7" s="47">
        <f t="shared" si="8"/>
        <v>0</v>
      </c>
      <c r="AJ7" s="48"/>
      <c r="AL7" s="47">
        <f t="shared" si="9"/>
        <v>0</v>
      </c>
      <c r="AP7" s="47">
        <f t="shared" si="10"/>
        <v>0</v>
      </c>
      <c r="AR7" s="48"/>
      <c r="AT7" s="47">
        <f t="shared" si="11"/>
        <v>0</v>
      </c>
      <c r="AX7" s="47">
        <f t="shared" si="12"/>
        <v>0</v>
      </c>
      <c r="AY7" s="6">
        <f t="shared" si="13"/>
        <v>0</v>
      </c>
      <c r="AZ7" s="6">
        <f t="shared" si="14"/>
        <v>0</v>
      </c>
    </row>
    <row r="8" spans="1:52" s="6" customFormat="1" x14ac:dyDescent="0.2">
      <c r="A8" s="36" t="s">
        <v>81</v>
      </c>
      <c r="B8" s="47">
        <f t="shared" si="0"/>
        <v>0</v>
      </c>
      <c r="D8" s="48"/>
      <c r="F8" s="47">
        <f t="shared" si="1"/>
        <v>0</v>
      </c>
      <c r="J8" s="47">
        <f t="shared" si="2"/>
        <v>0</v>
      </c>
      <c r="L8" s="48"/>
      <c r="N8" s="47">
        <f t="shared" si="3"/>
        <v>0</v>
      </c>
      <c r="R8" s="47">
        <f t="shared" si="4"/>
        <v>0</v>
      </c>
      <c r="T8" s="48"/>
      <c r="V8" s="47">
        <f t="shared" si="5"/>
        <v>0</v>
      </c>
      <c r="Z8" s="47">
        <f t="shared" si="6"/>
        <v>0</v>
      </c>
      <c r="AB8" s="48"/>
      <c r="AD8" s="47">
        <f t="shared" si="7"/>
        <v>0</v>
      </c>
      <c r="AH8" s="47">
        <f t="shared" si="8"/>
        <v>0</v>
      </c>
      <c r="AJ8" s="48"/>
      <c r="AL8" s="47">
        <f t="shared" si="9"/>
        <v>0</v>
      </c>
      <c r="AP8" s="47">
        <f t="shared" si="10"/>
        <v>0</v>
      </c>
      <c r="AR8" s="48"/>
      <c r="AT8" s="47">
        <f t="shared" si="11"/>
        <v>0</v>
      </c>
      <c r="AX8" s="47">
        <f t="shared" si="12"/>
        <v>0</v>
      </c>
      <c r="AY8" s="6">
        <f t="shared" si="13"/>
        <v>0</v>
      </c>
      <c r="AZ8" s="6">
        <f t="shared" si="14"/>
        <v>0</v>
      </c>
    </row>
    <row r="9" spans="1:52" s="6" customFormat="1" x14ac:dyDescent="0.2">
      <c r="A9" s="36" t="s">
        <v>82</v>
      </c>
      <c r="B9" s="47">
        <f t="shared" si="0"/>
        <v>0</v>
      </c>
      <c r="D9" s="48"/>
      <c r="F9" s="47">
        <f t="shared" si="1"/>
        <v>0</v>
      </c>
      <c r="J9" s="47">
        <f t="shared" si="2"/>
        <v>0</v>
      </c>
      <c r="L9" s="48"/>
      <c r="N9" s="47">
        <f t="shared" si="3"/>
        <v>0</v>
      </c>
      <c r="R9" s="47">
        <f t="shared" si="4"/>
        <v>0</v>
      </c>
      <c r="T9" s="48"/>
      <c r="V9" s="47">
        <f t="shared" si="5"/>
        <v>0</v>
      </c>
      <c r="Z9" s="47">
        <f t="shared" si="6"/>
        <v>0</v>
      </c>
      <c r="AB9" s="48"/>
      <c r="AD9" s="47">
        <f t="shared" si="7"/>
        <v>0</v>
      </c>
      <c r="AH9" s="47">
        <f t="shared" si="8"/>
        <v>0</v>
      </c>
      <c r="AJ9" s="48"/>
      <c r="AL9" s="47">
        <f t="shared" si="9"/>
        <v>0</v>
      </c>
      <c r="AP9" s="47">
        <f t="shared" si="10"/>
        <v>0</v>
      </c>
      <c r="AR9" s="48"/>
      <c r="AT9" s="47">
        <f t="shared" si="11"/>
        <v>0</v>
      </c>
      <c r="AX9" s="47">
        <f t="shared" si="12"/>
        <v>0</v>
      </c>
      <c r="AY9" s="6">
        <f t="shared" si="13"/>
        <v>0</v>
      </c>
      <c r="AZ9" s="6">
        <f t="shared" si="14"/>
        <v>0</v>
      </c>
    </row>
    <row r="10" spans="1:52" s="6" customFormat="1" x14ac:dyDescent="0.2">
      <c r="A10" s="33" t="s">
        <v>83</v>
      </c>
      <c r="B10" s="47">
        <f t="shared" si="0"/>
        <v>0</v>
      </c>
      <c r="D10" s="48"/>
      <c r="F10" s="47">
        <f t="shared" si="1"/>
        <v>0</v>
      </c>
      <c r="J10" s="47">
        <f t="shared" si="2"/>
        <v>0</v>
      </c>
      <c r="L10" s="48"/>
      <c r="N10" s="47">
        <f t="shared" si="3"/>
        <v>0</v>
      </c>
      <c r="R10" s="47">
        <f t="shared" si="4"/>
        <v>0</v>
      </c>
      <c r="T10" s="48"/>
      <c r="V10" s="47">
        <f t="shared" si="5"/>
        <v>0</v>
      </c>
      <c r="Z10" s="47">
        <f t="shared" si="6"/>
        <v>0</v>
      </c>
      <c r="AB10" s="48"/>
      <c r="AD10" s="47">
        <f t="shared" si="7"/>
        <v>0</v>
      </c>
      <c r="AH10" s="47">
        <f t="shared" si="8"/>
        <v>0</v>
      </c>
      <c r="AJ10" s="48"/>
      <c r="AL10" s="47">
        <f t="shared" si="9"/>
        <v>0</v>
      </c>
      <c r="AP10" s="47">
        <f t="shared" si="10"/>
        <v>0</v>
      </c>
      <c r="AR10" s="48"/>
      <c r="AT10" s="47">
        <f t="shared" si="11"/>
        <v>0</v>
      </c>
      <c r="AX10" s="47">
        <f t="shared" si="12"/>
        <v>0</v>
      </c>
      <c r="AY10" s="6">
        <f t="shared" si="13"/>
        <v>0</v>
      </c>
      <c r="AZ10" s="6">
        <f t="shared" si="14"/>
        <v>0</v>
      </c>
    </row>
    <row r="11" spans="1:52" s="6" customFormat="1" x14ac:dyDescent="0.2">
      <c r="A11" s="33" t="s">
        <v>81</v>
      </c>
      <c r="B11" s="47">
        <f t="shared" si="0"/>
        <v>0</v>
      </c>
      <c r="D11" s="48"/>
      <c r="F11" s="47">
        <f t="shared" si="1"/>
        <v>0</v>
      </c>
      <c r="J11" s="47">
        <f t="shared" si="2"/>
        <v>0</v>
      </c>
      <c r="L11" s="48"/>
      <c r="N11" s="47">
        <f t="shared" si="3"/>
        <v>0</v>
      </c>
      <c r="R11" s="47">
        <f t="shared" si="4"/>
        <v>0</v>
      </c>
      <c r="T11" s="48"/>
      <c r="V11" s="47">
        <f t="shared" si="5"/>
        <v>0</v>
      </c>
      <c r="Z11" s="47">
        <f t="shared" si="6"/>
        <v>0</v>
      </c>
      <c r="AB11" s="48"/>
      <c r="AD11" s="47">
        <f t="shared" si="7"/>
        <v>0</v>
      </c>
      <c r="AH11" s="47">
        <f t="shared" si="8"/>
        <v>0</v>
      </c>
      <c r="AJ11" s="48"/>
      <c r="AL11" s="47">
        <f t="shared" si="9"/>
        <v>0</v>
      </c>
      <c r="AP11" s="47">
        <f t="shared" si="10"/>
        <v>0</v>
      </c>
      <c r="AR11" s="48"/>
      <c r="AT11" s="47">
        <f t="shared" si="11"/>
        <v>0</v>
      </c>
      <c r="AX11" s="47">
        <f t="shared" si="12"/>
        <v>0</v>
      </c>
      <c r="AY11" s="6">
        <f t="shared" si="13"/>
        <v>0</v>
      </c>
      <c r="AZ11" s="6">
        <f t="shared" si="14"/>
        <v>0</v>
      </c>
    </row>
    <row r="12" spans="1:52" s="6" customFormat="1" x14ac:dyDescent="0.2">
      <c r="A12" s="33" t="s">
        <v>82</v>
      </c>
      <c r="B12" s="47">
        <f t="shared" si="0"/>
        <v>0</v>
      </c>
      <c r="D12" s="48"/>
      <c r="F12" s="47">
        <f t="shared" si="1"/>
        <v>0</v>
      </c>
      <c r="J12" s="47">
        <f t="shared" si="2"/>
        <v>0</v>
      </c>
      <c r="L12" s="48"/>
      <c r="N12" s="47">
        <f t="shared" si="3"/>
        <v>0</v>
      </c>
      <c r="R12" s="47">
        <f t="shared" si="4"/>
        <v>0</v>
      </c>
      <c r="T12" s="48"/>
      <c r="V12" s="47">
        <f t="shared" si="5"/>
        <v>0</v>
      </c>
      <c r="Z12" s="47">
        <f t="shared" si="6"/>
        <v>0</v>
      </c>
      <c r="AB12" s="48"/>
      <c r="AD12" s="47">
        <f t="shared" si="7"/>
        <v>0</v>
      </c>
      <c r="AH12" s="47">
        <f t="shared" si="8"/>
        <v>0</v>
      </c>
      <c r="AJ12" s="48"/>
      <c r="AL12" s="47">
        <f t="shared" si="9"/>
        <v>0</v>
      </c>
      <c r="AP12" s="47">
        <f t="shared" si="10"/>
        <v>0</v>
      </c>
      <c r="AR12" s="48"/>
      <c r="AT12" s="47">
        <f t="shared" si="11"/>
        <v>0</v>
      </c>
      <c r="AX12" s="47">
        <f t="shared" si="12"/>
        <v>0</v>
      </c>
      <c r="AY12" s="6">
        <f t="shared" si="13"/>
        <v>0</v>
      </c>
      <c r="AZ12" s="6">
        <f t="shared" si="14"/>
        <v>0</v>
      </c>
    </row>
    <row r="13" spans="1:52" s="6" customFormat="1" x14ac:dyDescent="0.2">
      <c r="A13" s="33" t="s">
        <v>84</v>
      </c>
      <c r="B13" s="47">
        <f t="shared" si="0"/>
        <v>0</v>
      </c>
      <c r="D13" s="48"/>
      <c r="F13" s="47">
        <f t="shared" si="1"/>
        <v>0</v>
      </c>
      <c r="J13" s="47">
        <f t="shared" si="2"/>
        <v>0</v>
      </c>
      <c r="L13" s="48"/>
      <c r="N13" s="47">
        <f t="shared" si="3"/>
        <v>0</v>
      </c>
      <c r="R13" s="47">
        <f t="shared" si="4"/>
        <v>0</v>
      </c>
      <c r="T13" s="48"/>
      <c r="V13" s="47">
        <f t="shared" si="5"/>
        <v>0</v>
      </c>
      <c r="Z13" s="47">
        <f t="shared" si="6"/>
        <v>0</v>
      </c>
      <c r="AB13" s="48"/>
      <c r="AD13" s="47">
        <f t="shared" si="7"/>
        <v>0</v>
      </c>
      <c r="AH13" s="47">
        <f t="shared" si="8"/>
        <v>0</v>
      </c>
      <c r="AJ13" s="48"/>
      <c r="AL13" s="47">
        <f t="shared" si="9"/>
        <v>0</v>
      </c>
      <c r="AP13" s="47">
        <f t="shared" si="10"/>
        <v>0</v>
      </c>
      <c r="AR13" s="48"/>
      <c r="AT13" s="47">
        <f t="shared" si="11"/>
        <v>0</v>
      </c>
      <c r="AX13" s="47">
        <f t="shared" si="12"/>
        <v>0</v>
      </c>
      <c r="AY13" s="6">
        <f t="shared" si="13"/>
        <v>0</v>
      </c>
      <c r="AZ13" s="6">
        <f t="shared" si="14"/>
        <v>0</v>
      </c>
    </row>
    <row r="14" spans="1:52" s="6" customFormat="1" x14ac:dyDescent="0.2">
      <c r="A14" s="33" t="s">
        <v>85</v>
      </c>
      <c r="B14" s="47">
        <f t="shared" si="0"/>
        <v>0</v>
      </c>
      <c r="D14" s="48"/>
      <c r="F14" s="47">
        <f t="shared" si="1"/>
        <v>0</v>
      </c>
      <c r="J14" s="47">
        <f t="shared" si="2"/>
        <v>0</v>
      </c>
      <c r="L14" s="48"/>
      <c r="N14" s="47">
        <f t="shared" si="3"/>
        <v>0</v>
      </c>
      <c r="R14" s="47">
        <f t="shared" si="4"/>
        <v>0</v>
      </c>
      <c r="T14" s="48"/>
      <c r="V14" s="47">
        <f t="shared" si="5"/>
        <v>0</v>
      </c>
      <c r="Z14" s="47">
        <f t="shared" si="6"/>
        <v>0</v>
      </c>
      <c r="AB14" s="48"/>
      <c r="AD14" s="47">
        <f t="shared" si="7"/>
        <v>0</v>
      </c>
      <c r="AH14" s="47">
        <f t="shared" si="8"/>
        <v>0</v>
      </c>
      <c r="AJ14" s="48"/>
      <c r="AL14" s="47">
        <f t="shared" si="9"/>
        <v>0</v>
      </c>
      <c r="AP14" s="47">
        <f t="shared" si="10"/>
        <v>0</v>
      </c>
      <c r="AR14" s="48"/>
      <c r="AT14" s="47">
        <f t="shared" si="11"/>
        <v>0</v>
      </c>
      <c r="AX14" s="47">
        <f t="shared" si="12"/>
        <v>0</v>
      </c>
      <c r="AY14" s="6">
        <f t="shared" si="13"/>
        <v>0</v>
      </c>
      <c r="AZ14" s="6">
        <f t="shared" si="14"/>
        <v>0</v>
      </c>
    </row>
    <row r="15" spans="1:52" s="6" customFormat="1" x14ac:dyDescent="0.2">
      <c r="A15" s="33" t="s">
        <v>81</v>
      </c>
      <c r="B15" s="47">
        <f t="shared" si="0"/>
        <v>0</v>
      </c>
      <c r="D15" s="48"/>
      <c r="F15" s="47">
        <f t="shared" si="1"/>
        <v>0</v>
      </c>
      <c r="J15" s="47">
        <f t="shared" si="2"/>
        <v>0</v>
      </c>
      <c r="L15" s="48"/>
      <c r="N15" s="47">
        <f t="shared" si="3"/>
        <v>0</v>
      </c>
      <c r="R15" s="47">
        <f t="shared" si="4"/>
        <v>0</v>
      </c>
      <c r="T15" s="48"/>
      <c r="V15" s="47">
        <f t="shared" si="5"/>
        <v>0</v>
      </c>
      <c r="Z15" s="47">
        <f t="shared" si="6"/>
        <v>0</v>
      </c>
      <c r="AB15" s="48"/>
      <c r="AD15" s="47">
        <f t="shared" si="7"/>
        <v>0</v>
      </c>
      <c r="AH15" s="47">
        <f t="shared" si="8"/>
        <v>0</v>
      </c>
      <c r="AJ15" s="48"/>
      <c r="AL15" s="47">
        <f t="shared" si="9"/>
        <v>0</v>
      </c>
      <c r="AP15" s="47">
        <f t="shared" si="10"/>
        <v>0</v>
      </c>
      <c r="AR15" s="48"/>
      <c r="AT15" s="47">
        <f t="shared" si="11"/>
        <v>0</v>
      </c>
      <c r="AX15" s="47">
        <f t="shared" si="12"/>
        <v>0</v>
      </c>
      <c r="AY15" s="6">
        <f t="shared" si="13"/>
        <v>0</v>
      </c>
      <c r="AZ15" s="6">
        <f t="shared" si="14"/>
        <v>0</v>
      </c>
    </row>
    <row r="16" spans="1:52" s="6" customFormat="1" x14ac:dyDescent="0.2">
      <c r="A16" s="33" t="s">
        <v>82</v>
      </c>
      <c r="B16" s="47">
        <f t="shared" si="0"/>
        <v>0</v>
      </c>
      <c r="D16" s="48"/>
      <c r="F16" s="47">
        <f t="shared" si="1"/>
        <v>0</v>
      </c>
      <c r="J16" s="47">
        <f t="shared" si="2"/>
        <v>0</v>
      </c>
      <c r="L16" s="48"/>
      <c r="N16" s="47">
        <f t="shared" si="3"/>
        <v>0</v>
      </c>
      <c r="R16" s="47">
        <f t="shared" si="4"/>
        <v>0</v>
      </c>
      <c r="T16" s="48"/>
      <c r="V16" s="47">
        <f t="shared" si="5"/>
        <v>0</v>
      </c>
      <c r="Z16" s="47">
        <f t="shared" si="6"/>
        <v>0</v>
      </c>
      <c r="AB16" s="48"/>
      <c r="AD16" s="47">
        <f t="shared" si="7"/>
        <v>0</v>
      </c>
      <c r="AH16" s="47">
        <f t="shared" si="8"/>
        <v>0</v>
      </c>
      <c r="AJ16" s="48"/>
      <c r="AL16" s="47">
        <f t="shared" si="9"/>
        <v>0</v>
      </c>
      <c r="AP16" s="47">
        <f t="shared" si="10"/>
        <v>0</v>
      </c>
      <c r="AR16" s="48"/>
      <c r="AT16" s="47">
        <f t="shared" si="11"/>
        <v>0</v>
      </c>
      <c r="AX16" s="47">
        <f t="shared" si="12"/>
        <v>0</v>
      </c>
      <c r="AY16" s="6">
        <f t="shared" si="13"/>
        <v>0</v>
      </c>
      <c r="AZ16" s="6">
        <f t="shared" si="14"/>
        <v>0</v>
      </c>
    </row>
    <row r="17" spans="1:195" s="6" customFormat="1" x14ac:dyDescent="0.2">
      <c r="A17" s="33" t="s">
        <v>86</v>
      </c>
      <c r="B17" s="47">
        <f t="shared" si="0"/>
        <v>0</v>
      </c>
      <c r="D17" s="48"/>
      <c r="F17" s="47">
        <f t="shared" si="1"/>
        <v>0</v>
      </c>
      <c r="J17" s="47">
        <f t="shared" si="2"/>
        <v>0</v>
      </c>
      <c r="L17" s="48"/>
      <c r="N17" s="47">
        <f t="shared" si="3"/>
        <v>0</v>
      </c>
      <c r="R17" s="47">
        <f t="shared" si="4"/>
        <v>0</v>
      </c>
      <c r="T17" s="48"/>
      <c r="V17" s="47">
        <f t="shared" si="5"/>
        <v>0</v>
      </c>
      <c r="Z17" s="47">
        <f t="shared" si="6"/>
        <v>0</v>
      </c>
      <c r="AB17" s="48"/>
      <c r="AD17" s="47">
        <f t="shared" si="7"/>
        <v>0</v>
      </c>
      <c r="AH17" s="47">
        <f t="shared" si="8"/>
        <v>0</v>
      </c>
      <c r="AJ17" s="48"/>
      <c r="AL17" s="47">
        <f t="shared" si="9"/>
        <v>0</v>
      </c>
      <c r="AP17" s="47">
        <f t="shared" si="10"/>
        <v>0</v>
      </c>
      <c r="AR17" s="48"/>
      <c r="AT17" s="47">
        <f t="shared" si="11"/>
        <v>0</v>
      </c>
      <c r="AX17" s="47">
        <f t="shared" si="12"/>
        <v>0</v>
      </c>
      <c r="AY17" s="6">
        <f t="shared" si="13"/>
        <v>0</v>
      </c>
      <c r="AZ17" s="6">
        <f t="shared" si="14"/>
        <v>0</v>
      </c>
    </row>
    <row r="18" spans="1:195" s="6" customFormat="1" x14ac:dyDescent="0.2">
      <c r="A18" s="33" t="s">
        <v>81</v>
      </c>
      <c r="B18" s="47">
        <f t="shared" si="0"/>
        <v>0</v>
      </c>
      <c r="D18" s="48"/>
      <c r="F18" s="47">
        <f t="shared" si="1"/>
        <v>0</v>
      </c>
      <c r="J18" s="47">
        <f t="shared" si="2"/>
        <v>0</v>
      </c>
      <c r="L18" s="48"/>
      <c r="N18" s="47">
        <f t="shared" si="3"/>
        <v>0</v>
      </c>
      <c r="R18" s="47">
        <f t="shared" si="4"/>
        <v>0</v>
      </c>
      <c r="T18" s="48"/>
      <c r="V18" s="47">
        <f t="shared" si="5"/>
        <v>0</v>
      </c>
      <c r="Z18" s="47">
        <f t="shared" si="6"/>
        <v>0</v>
      </c>
      <c r="AB18" s="48"/>
      <c r="AD18" s="47">
        <f t="shared" si="7"/>
        <v>0</v>
      </c>
      <c r="AH18" s="47">
        <f t="shared" si="8"/>
        <v>0</v>
      </c>
      <c r="AJ18" s="48"/>
      <c r="AL18" s="47">
        <f t="shared" si="9"/>
        <v>0</v>
      </c>
      <c r="AP18" s="47">
        <f t="shared" si="10"/>
        <v>0</v>
      </c>
      <c r="AR18" s="48"/>
      <c r="AT18" s="47">
        <f t="shared" si="11"/>
        <v>0</v>
      </c>
      <c r="AX18" s="47">
        <f t="shared" si="12"/>
        <v>0</v>
      </c>
      <c r="AY18" s="6">
        <f t="shared" si="13"/>
        <v>0</v>
      </c>
      <c r="AZ18" s="6">
        <f t="shared" si="14"/>
        <v>0</v>
      </c>
    </row>
    <row r="19" spans="1:195" s="6" customFormat="1" x14ac:dyDescent="0.2">
      <c r="A19" s="33" t="s">
        <v>82</v>
      </c>
      <c r="B19" s="47">
        <f t="shared" si="0"/>
        <v>0</v>
      </c>
      <c r="D19" s="48"/>
      <c r="F19" s="47">
        <f t="shared" si="1"/>
        <v>0</v>
      </c>
      <c r="J19" s="47">
        <f t="shared" si="2"/>
        <v>0</v>
      </c>
      <c r="L19" s="48"/>
      <c r="N19" s="47">
        <f t="shared" si="3"/>
        <v>0</v>
      </c>
      <c r="R19" s="47">
        <f t="shared" si="4"/>
        <v>0</v>
      </c>
      <c r="T19" s="48"/>
      <c r="V19" s="47">
        <f t="shared" si="5"/>
        <v>0</v>
      </c>
      <c r="Z19" s="47">
        <f t="shared" si="6"/>
        <v>0</v>
      </c>
      <c r="AB19" s="48"/>
      <c r="AD19" s="47">
        <f t="shared" si="7"/>
        <v>0</v>
      </c>
      <c r="AH19" s="47">
        <f t="shared" si="8"/>
        <v>0</v>
      </c>
      <c r="AJ19" s="48"/>
      <c r="AL19" s="47">
        <f t="shared" si="9"/>
        <v>0</v>
      </c>
      <c r="AP19" s="47">
        <f t="shared" si="10"/>
        <v>0</v>
      </c>
      <c r="AR19" s="48"/>
      <c r="AT19" s="47">
        <f t="shared" si="11"/>
        <v>0</v>
      </c>
      <c r="AX19" s="47">
        <f t="shared" si="12"/>
        <v>0</v>
      </c>
      <c r="AY19" s="6">
        <f t="shared" si="13"/>
        <v>0</v>
      </c>
      <c r="AZ19" s="6">
        <f t="shared" si="14"/>
        <v>0</v>
      </c>
    </row>
    <row r="20" spans="1:195" s="141" customFormat="1" ht="22.9" customHeight="1" thickBot="1" x14ac:dyDescent="0.3">
      <c r="A20" s="34" t="s">
        <v>16</v>
      </c>
      <c r="B20" s="55">
        <f>SUM(B4:B19)</f>
        <v>0</v>
      </c>
      <c r="C20" s="16">
        <f>SUM(C4:C19)</f>
        <v>0</v>
      </c>
      <c r="D20" s="56">
        <f>SUM(D4:D19)</f>
        <v>0</v>
      </c>
      <c r="E20" s="16"/>
      <c r="F20" s="16">
        <f>SUM(F4:F19)</f>
        <v>0</v>
      </c>
      <c r="G20" s="16">
        <f>SUM(G4:G19)</f>
        <v>0</v>
      </c>
      <c r="H20" s="16">
        <f>SUM(H4:H19)</f>
        <v>0</v>
      </c>
      <c r="I20" s="16"/>
      <c r="J20" s="55">
        <f>SUM(J4:J19)</f>
        <v>0</v>
      </c>
      <c r="K20" s="16">
        <f>SUM(K4:K19)</f>
        <v>0</v>
      </c>
      <c r="L20" s="56">
        <f>SUM(L4:L19)</f>
        <v>0</v>
      </c>
      <c r="M20" s="16"/>
      <c r="N20" s="16">
        <f>SUM(N4:N19)</f>
        <v>0</v>
      </c>
      <c r="O20" s="16">
        <f>SUM(O4:O19)</f>
        <v>0</v>
      </c>
      <c r="P20" s="16">
        <f>SUM(P4:P19)</f>
        <v>0</v>
      </c>
      <c r="Q20" s="16"/>
      <c r="R20" s="55">
        <f>SUM(R4:R19)</f>
        <v>0</v>
      </c>
      <c r="S20" s="16">
        <f>SUM(S4:S19)</f>
        <v>0</v>
      </c>
      <c r="T20" s="56">
        <f>SUM(T4:T19)</f>
        <v>0</v>
      </c>
      <c r="U20" s="16"/>
      <c r="V20" s="16">
        <f>SUM(V4:V19)</f>
        <v>0</v>
      </c>
      <c r="W20" s="16">
        <f>SUM(W4:W19)</f>
        <v>0</v>
      </c>
      <c r="X20" s="16">
        <f>SUM(X4:X19)</f>
        <v>0</v>
      </c>
      <c r="Y20" s="16"/>
      <c r="Z20" s="55">
        <f>SUM(Z4:Z19)</f>
        <v>0</v>
      </c>
      <c r="AA20" s="16">
        <f>SUM(AA4:AA19)</f>
        <v>0</v>
      </c>
      <c r="AB20" s="56">
        <f>SUM(AB4:AB19)</f>
        <v>0</v>
      </c>
      <c r="AC20" s="16"/>
      <c r="AD20" s="16">
        <f>SUM(AD4:AD19)</f>
        <v>0</v>
      </c>
      <c r="AE20" s="16">
        <f>SUM(AE4:AE19)</f>
        <v>0</v>
      </c>
      <c r="AF20" s="16">
        <f>SUM(AF4:AF19)</f>
        <v>0</v>
      </c>
      <c r="AG20" s="16"/>
      <c r="AH20" s="55">
        <f>SUM(AH4:AH19)</f>
        <v>0</v>
      </c>
      <c r="AI20" s="16">
        <f>SUM(AI4:AI19)</f>
        <v>0</v>
      </c>
      <c r="AJ20" s="56">
        <f>SUM(AJ4:AJ19)</f>
        <v>0</v>
      </c>
      <c r="AK20" s="16"/>
      <c r="AL20" s="16">
        <f>SUM(AL4:AL19)</f>
        <v>0</v>
      </c>
      <c r="AM20" s="16">
        <f>SUM(AM4:AM19)</f>
        <v>0</v>
      </c>
      <c r="AN20" s="16">
        <f>SUM(AN4:AN19)</f>
        <v>0</v>
      </c>
      <c r="AO20" s="16"/>
      <c r="AP20" s="55">
        <f>SUM(AP4:AP19)</f>
        <v>0</v>
      </c>
      <c r="AQ20" s="16">
        <f>SUM(AQ4:AQ19)</f>
        <v>0</v>
      </c>
      <c r="AR20" s="56">
        <f>SUM(AR4:AR19)</f>
        <v>0</v>
      </c>
      <c r="AS20" s="16"/>
      <c r="AT20" s="16">
        <f>SUM(AT4:AT19)</f>
        <v>0</v>
      </c>
      <c r="AU20" s="16">
        <f>SUM(AU4:AU19)</f>
        <v>0</v>
      </c>
      <c r="AV20" s="16">
        <f>SUM(AV4:AV19)</f>
        <v>0</v>
      </c>
      <c r="AW20" s="16"/>
      <c r="AX20" s="55">
        <f>SUM(AX4:AX19)</f>
        <v>0</v>
      </c>
      <c r="AY20" s="16">
        <f>SUM(AY4:AY19)</f>
        <v>0</v>
      </c>
      <c r="AZ20" s="16">
        <f>SUM(AZ4:AZ19)</f>
        <v>0</v>
      </c>
    </row>
    <row r="21" spans="1:195" customFormat="1" ht="15" x14ac:dyDescent="0.25">
      <c r="A21" s="19" t="s">
        <v>88</v>
      </c>
      <c r="B21" s="134"/>
      <c r="C21" s="135"/>
      <c r="D21" s="136"/>
      <c r="E21" s="18"/>
      <c r="F21" s="18"/>
      <c r="G21" s="18"/>
      <c r="H21" s="18"/>
      <c r="I21" s="18"/>
      <c r="J21" s="134"/>
      <c r="K21" s="135"/>
      <c r="L21" s="136"/>
      <c r="M21" s="18"/>
      <c r="N21" s="18"/>
      <c r="O21" s="18"/>
      <c r="P21" s="18"/>
      <c r="Q21" s="18"/>
      <c r="R21" s="134"/>
      <c r="S21" s="135"/>
      <c r="T21" s="136"/>
      <c r="U21" s="18"/>
      <c r="V21" s="18"/>
      <c r="W21" s="18"/>
      <c r="X21" s="18"/>
      <c r="Y21" s="18"/>
      <c r="Z21" s="134"/>
      <c r="AA21" s="135"/>
      <c r="AB21" s="136"/>
      <c r="AC21" s="18"/>
      <c r="AD21" s="18"/>
      <c r="AE21" s="18"/>
      <c r="AF21" s="18"/>
      <c r="AG21" s="18"/>
      <c r="AH21" s="134"/>
      <c r="AI21" s="135"/>
      <c r="AJ21" s="136"/>
      <c r="AK21" s="18"/>
      <c r="AL21" s="18"/>
      <c r="AM21" s="18"/>
      <c r="AN21" s="18"/>
      <c r="AO21" s="18"/>
      <c r="AP21" s="134"/>
      <c r="AQ21" s="135"/>
      <c r="AR21" s="136"/>
      <c r="AS21" s="18"/>
      <c r="AT21" s="18"/>
      <c r="AU21" s="18"/>
      <c r="AV21" s="18"/>
      <c r="AW21" s="18"/>
      <c r="AX21" s="134"/>
      <c r="AY21" s="135"/>
      <c r="AZ21" s="135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2"/>
      <c r="DL21" s="142"/>
      <c r="DM21" s="142"/>
      <c r="DN21" s="142"/>
      <c r="DO21" s="142"/>
      <c r="DP21" s="142"/>
      <c r="DQ21" s="142"/>
      <c r="DR21" s="142"/>
      <c r="DS21" s="142"/>
      <c r="DT21" s="142"/>
      <c r="DU21" s="142"/>
      <c r="DV21" s="142"/>
      <c r="DW21" s="142"/>
      <c r="DX21" s="142"/>
      <c r="DY21" s="142"/>
      <c r="DZ21" s="142"/>
      <c r="EA21" s="142"/>
      <c r="EB21" s="142"/>
      <c r="EC21" s="142"/>
      <c r="ED21" s="142"/>
      <c r="EE21" s="142"/>
      <c r="EF21" s="142"/>
      <c r="EG21" s="142"/>
      <c r="EH21" s="142"/>
      <c r="EI21" s="142"/>
      <c r="EJ21" s="142"/>
      <c r="EK21" s="142"/>
      <c r="EL21" s="142"/>
      <c r="EM21" s="142"/>
      <c r="EN21" s="142"/>
      <c r="EO21" s="142"/>
      <c r="EP21" s="142"/>
      <c r="EQ21" s="142"/>
      <c r="ER21" s="142"/>
      <c r="ES21" s="142"/>
      <c r="ET21" s="142"/>
      <c r="EU21" s="142"/>
      <c r="EV21" s="142"/>
      <c r="EW21" s="142"/>
      <c r="EX21" s="142"/>
      <c r="EY21" s="142"/>
      <c r="EZ21" s="142"/>
      <c r="FA21" s="142"/>
      <c r="FB21" s="142"/>
      <c r="FC21" s="142"/>
      <c r="FD21" s="142"/>
      <c r="FE21" s="142"/>
      <c r="FF21" s="142"/>
      <c r="FG21" s="142"/>
      <c r="FH21" s="142"/>
      <c r="FI21" s="142"/>
      <c r="FJ21" s="142"/>
      <c r="FK21" s="142"/>
      <c r="FL21" s="142"/>
      <c r="FM21" s="142"/>
      <c r="FN21" s="142"/>
      <c r="FO21" s="142"/>
      <c r="FP21" s="142"/>
      <c r="FQ21" s="142"/>
      <c r="FR21" s="142"/>
      <c r="FS21" s="142"/>
      <c r="FT21" s="142"/>
      <c r="FU21" s="142"/>
      <c r="FV21" s="142"/>
      <c r="FW21" s="142"/>
      <c r="FX21" s="142"/>
      <c r="FY21" s="142"/>
      <c r="FZ21" s="142"/>
      <c r="GA21" s="142"/>
      <c r="GB21" s="142"/>
      <c r="GC21" s="142"/>
      <c r="GD21" s="142"/>
      <c r="GE21" s="142"/>
      <c r="GF21" s="142"/>
      <c r="GG21" s="142"/>
      <c r="GH21" s="142"/>
      <c r="GI21" s="142"/>
      <c r="GJ21" s="142"/>
      <c r="GK21" s="142"/>
      <c r="GL21" s="142"/>
      <c r="GM21" s="142"/>
    </row>
    <row r="22" spans="1:195" customFormat="1" ht="15" x14ac:dyDescent="0.25">
      <c r="A22" s="17" t="s">
        <v>89</v>
      </c>
      <c r="B22" s="47">
        <f t="shared" ref="B22:B54" si="15">C22+D22</f>
        <v>0</v>
      </c>
      <c r="C22" s="6"/>
      <c r="D22" s="48"/>
      <c r="E22" s="6"/>
      <c r="F22" s="6">
        <f t="shared" ref="F22:F54" si="16">G22+H22</f>
        <v>0</v>
      </c>
      <c r="G22" s="6"/>
      <c r="H22" s="6"/>
      <c r="I22" s="6"/>
      <c r="J22" s="47">
        <f t="shared" ref="J22:J54" si="17">K22+L22</f>
        <v>0</v>
      </c>
      <c r="K22" s="6"/>
      <c r="L22" s="48"/>
      <c r="M22" s="6"/>
      <c r="N22" s="6">
        <f t="shared" ref="N22:N54" si="18">O22+P22</f>
        <v>0</v>
      </c>
      <c r="O22" s="6"/>
      <c r="P22" s="6"/>
      <c r="Q22" s="6"/>
      <c r="R22" s="47">
        <f t="shared" ref="R22:R54" si="19">S22+T22</f>
        <v>0</v>
      </c>
      <c r="S22" s="6"/>
      <c r="T22" s="48"/>
      <c r="U22" s="6"/>
      <c r="V22" s="6">
        <f t="shared" ref="V22:V54" si="20">W22+X22</f>
        <v>0</v>
      </c>
      <c r="W22" s="6"/>
      <c r="X22" s="6"/>
      <c r="Y22" s="6"/>
      <c r="Z22" s="47">
        <f t="shared" ref="Z22:Z54" si="21">AA22+AB22</f>
        <v>0</v>
      </c>
      <c r="AA22" s="6"/>
      <c r="AB22" s="48"/>
      <c r="AC22" s="6"/>
      <c r="AD22" s="6">
        <f t="shared" ref="AD22:AD54" si="22">AE22+AF22</f>
        <v>0</v>
      </c>
      <c r="AE22" s="6"/>
      <c r="AF22" s="6"/>
      <c r="AG22" s="6"/>
      <c r="AH22" s="47">
        <f t="shared" ref="AH22:AH54" si="23">AI22+AJ22</f>
        <v>0</v>
      </c>
      <c r="AI22" s="6"/>
      <c r="AJ22" s="48"/>
      <c r="AK22" s="6"/>
      <c r="AL22" s="6">
        <f t="shared" ref="AL22:AL54" si="24">AM22+AN22</f>
        <v>0</v>
      </c>
      <c r="AM22" s="6"/>
      <c r="AN22" s="6"/>
      <c r="AO22" s="6"/>
      <c r="AP22" s="47">
        <f t="shared" ref="AP22:AP54" si="25">AQ22+AR22</f>
        <v>0</v>
      </c>
      <c r="AQ22" s="6"/>
      <c r="AR22" s="48"/>
      <c r="AS22" s="6"/>
      <c r="AT22" s="6">
        <f t="shared" ref="AT22:AT54" si="26">AU22+AV22</f>
        <v>0</v>
      </c>
      <c r="AU22" s="6"/>
      <c r="AV22" s="6"/>
      <c r="AW22" s="6"/>
      <c r="AX22" s="47">
        <f t="shared" ref="AX22:AX54" si="27">AY22+AZ22</f>
        <v>0</v>
      </c>
      <c r="AY22" s="6">
        <f t="shared" ref="AY22:AY54" si="28">C22+G22+K22+O22+S22+W22+AA22+AE22+AI22+AM22+AQ22+AU22</f>
        <v>0</v>
      </c>
      <c r="AZ22" s="6">
        <f t="shared" ref="AZ22:AZ54" si="29">D22+H22+L22+P22+T22+X22+AB22+AF22+AJ22+AN22+AR22+AV22</f>
        <v>0</v>
      </c>
      <c r="BA22" s="6"/>
      <c r="BB22" s="6"/>
      <c r="BC22" s="6"/>
      <c r="BD22" s="6"/>
      <c r="BE22" s="6"/>
      <c r="BF22" s="6"/>
      <c r="BG22" s="6"/>
      <c r="BH22" s="6"/>
      <c r="BI22" s="6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  <c r="CP22" s="142"/>
      <c r="CQ22" s="142"/>
      <c r="CR22" s="142"/>
      <c r="CS22" s="142"/>
      <c r="CT22" s="142"/>
      <c r="CU22" s="142"/>
      <c r="CV22" s="142"/>
      <c r="CW22" s="142"/>
      <c r="CX22" s="142"/>
      <c r="CY22" s="142"/>
      <c r="CZ22" s="142"/>
      <c r="DA22" s="142"/>
      <c r="DB22" s="142"/>
      <c r="DC22" s="142"/>
      <c r="DD22" s="142"/>
      <c r="DE22" s="142"/>
      <c r="DF22" s="142"/>
      <c r="DG22" s="142"/>
      <c r="DH22" s="142"/>
      <c r="DI22" s="142"/>
      <c r="DJ22" s="142"/>
      <c r="DK22" s="142"/>
      <c r="DL22" s="142"/>
      <c r="DM22" s="142"/>
      <c r="DN22" s="142"/>
      <c r="DO22" s="142"/>
      <c r="DP22" s="142"/>
      <c r="DQ22" s="142"/>
      <c r="DR22" s="142"/>
      <c r="DS22" s="142"/>
      <c r="DT22" s="142"/>
      <c r="DU22" s="142"/>
      <c r="DV22" s="142"/>
      <c r="DW22" s="142"/>
      <c r="DX22" s="142"/>
      <c r="DY22" s="142"/>
      <c r="DZ22" s="142"/>
      <c r="EA22" s="142"/>
      <c r="EB22" s="142"/>
      <c r="EC22" s="142"/>
      <c r="ED22" s="142"/>
      <c r="EE22" s="142"/>
      <c r="EF22" s="142"/>
      <c r="EG22" s="142"/>
      <c r="EH22" s="142"/>
      <c r="EI22" s="142"/>
      <c r="EJ22" s="142"/>
      <c r="EK22" s="142"/>
      <c r="EL22" s="142"/>
      <c r="EM22" s="142"/>
      <c r="EN22" s="142"/>
      <c r="EO22" s="142"/>
      <c r="EP22" s="142"/>
      <c r="EQ22" s="142"/>
      <c r="ER22" s="142"/>
      <c r="ES22" s="142"/>
      <c r="ET22" s="142"/>
      <c r="EU22" s="142"/>
      <c r="EV22" s="142"/>
      <c r="EW22" s="142"/>
      <c r="EX22" s="142"/>
      <c r="EY22" s="142"/>
      <c r="EZ22" s="142"/>
      <c r="FA22" s="142"/>
      <c r="FB22" s="142"/>
      <c r="FC22" s="142"/>
      <c r="FD22" s="142"/>
      <c r="FE22" s="142"/>
      <c r="FF22" s="142"/>
      <c r="FG22" s="142"/>
      <c r="FH22" s="142"/>
      <c r="FI22" s="142"/>
      <c r="FJ22" s="142"/>
      <c r="FK22" s="142"/>
      <c r="FL22" s="142"/>
      <c r="FM22" s="142"/>
      <c r="FN22" s="142"/>
      <c r="FO22" s="142"/>
      <c r="FP22" s="142"/>
      <c r="FQ22" s="142"/>
      <c r="FR22" s="142"/>
      <c r="FS22" s="142"/>
      <c r="FT22" s="142"/>
      <c r="FU22" s="142"/>
      <c r="FV22" s="142"/>
      <c r="FW22" s="142"/>
      <c r="FX22" s="142"/>
      <c r="FY22" s="142"/>
      <c r="FZ22" s="142"/>
      <c r="GA22" s="142"/>
      <c r="GB22" s="142"/>
      <c r="GC22" s="142"/>
      <c r="GD22" s="142"/>
      <c r="GE22" s="142"/>
      <c r="GF22" s="142"/>
      <c r="GG22" s="142"/>
      <c r="GH22" s="142"/>
      <c r="GI22" s="142"/>
      <c r="GJ22" s="142"/>
      <c r="GK22" s="142"/>
      <c r="GL22" s="142"/>
      <c r="GM22" s="142"/>
    </row>
    <row r="23" spans="1:195" customFormat="1" ht="15" x14ac:dyDescent="0.25">
      <c r="A23" s="17" t="s">
        <v>81</v>
      </c>
      <c r="B23" s="47">
        <f t="shared" si="15"/>
        <v>0</v>
      </c>
      <c r="C23" s="6"/>
      <c r="D23" s="48"/>
      <c r="E23" s="6"/>
      <c r="F23" s="6">
        <f t="shared" si="16"/>
        <v>0</v>
      </c>
      <c r="G23" s="6"/>
      <c r="H23" s="6"/>
      <c r="I23" s="6"/>
      <c r="J23" s="47">
        <f t="shared" si="17"/>
        <v>0</v>
      </c>
      <c r="K23" s="6"/>
      <c r="L23" s="48"/>
      <c r="M23" s="6"/>
      <c r="N23" s="6">
        <f t="shared" si="18"/>
        <v>0</v>
      </c>
      <c r="O23" s="6"/>
      <c r="P23" s="6"/>
      <c r="Q23" s="6"/>
      <c r="R23" s="47">
        <f t="shared" si="19"/>
        <v>0</v>
      </c>
      <c r="S23" s="6"/>
      <c r="T23" s="48"/>
      <c r="U23" s="6"/>
      <c r="V23" s="6">
        <f t="shared" si="20"/>
        <v>0</v>
      </c>
      <c r="W23" s="6"/>
      <c r="X23" s="6"/>
      <c r="Y23" s="6"/>
      <c r="Z23" s="47">
        <f t="shared" si="21"/>
        <v>0</v>
      </c>
      <c r="AA23" s="6"/>
      <c r="AB23" s="48"/>
      <c r="AC23" s="6"/>
      <c r="AD23" s="6">
        <f t="shared" si="22"/>
        <v>0</v>
      </c>
      <c r="AE23" s="6"/>
      <c r="AF23" s="6"/>
      <c r="AG23" s="6"/>
      <c r="AH23" s="47">
        <f t="shared" si="23"/>
        <v>0</v>
      </c>
      <c r="AI23" s="6"/>
      <c r="AJ23" s="48"/>
      <c r="AK23" s="6"/>
      <c r="AL23" s="6">
        <f t="shared" si="24"/>
        <v>0</v>
      </c>
      <c r="AM23" s="6"/>
      <c r="AN23" s="6"/>
      <c r="AO23" s="6"/>
      <c r="AP23" s="47">
        <f t="shared" si="25"/>
        <v>0</v>
      </c>
      <c r="AQ23" s="6"/>
      <c r="AR23" s="48"/>
      <c r="AS23" s="6"/>
      <c r="AT23" s="6">
        <f t="shared" si="26"/>
        <v>0</v>
      </c>
      <c r="AU23" s="6"/>
      <c r="AV23" s="6"/>
      <c r="AW23" s="6"/>
      <c r="AX23" s="47">
        <f t="shared" si="27"/>
        <v>0</v>
      </c>
      <c r="AY23" s="6">
        <f t="shared" si="28"/>
        <v>0</v>
      </c>
      <c r="AZ23" s="6">
        <f t="shared" si="29"/>
        <v>0</v>
      </c>
      <c r="BA23" s="6"/>
      <c r="BB23" s="6"/>
      <c r="BC23" s="6"/>
      <c r="BD23" s="6"/>
      <c r="BE23" s="6"/>
      <c r="BF23" s="6"/>
      <c r="BG23" s="6"/>
      <c r="BH23" s="6"/>
      <c r="BI23" s="6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  <c r="CB23" s="142"/>
      <c r="CC23" s="142"/>
      <c r="CD23" s="142"/>
      <c r="CE23" s="142"/>
      <c r="CF23" s="142"/>
      <c r="CG23" s="142"/>
      <c r="CH23" s="142"/>
      <c r="CI23" s="142"/>
      <c r="CJ23" s="142"/>
      <c r="CK23" s="142"/>
      <c r="CL23" s="142"/>
      <c r="CM23" s="142"/>
      <c r="CN23" s="142"/>
      <c r="CO23" s="142"/>
      <c r="CP23" s="142"/>
      <c r="CQ23" s="142"/>
      <c r="CR23" s="142"/>
      <c r="CS23" s="142"/>
      <c r="CT23" s="142"/>
      <c r="CU23" s="142"/>
      <c r="CV23" s="142"/>
      <c r="CW23" s="142"/>
      <c r="CX23" s="142"/>
      <c r="CY23" s="142"/>
      <c r="CZ23" s="142"/>
      <c r="DA23" s="142"/>
      <c r="DB23" s="142"/>
      <c r="DC23" s="142"/>
      <c r="DD23" s="142"/>
      <c r="DE23" s="142"/>
      <c r="DF23" s="142"/>
      <c r="DG23" s="142"/>
      <c r="DH23" s="142"/>
      <c r="DI23" s="142"/>
      <c r="DJ23" s="142"/>
      <c r="DK23" s="142"/>
      <c r="DL23" s="142"/>
      <c r="DM23" s="142"/>
      <c r="DN23" s="142"/>
      <c r="DO23" s="142"/>
      <c r="DP23" s="142"/>
      <c r="DQ23" s="142"/>
      <c r="DR23" s="142"/>
      <c r="DS23" s="142"/>
      <c r="DT23" s="142"/>
      <c r="DU23" s="142"/>
      <c r="DV23" s="142"/>
      <c r="DW23" s="142"/>
      <c r="DX23" s="142"/>
      <c r="DY23" s="142"/>
      <c r="DZ23" s="142"/>
      <c r="EA23" s="142"/>
      <c r="EB23" s="142"/>
      <c r="EC23" s="142"/>
      <c r="ED23" s="142"/>
      <c r="EE23" s="142"/>
      <c r="EF23" s="142"/>
      <c r="EG23" s="142"/>
      <c r="EH23" s="142"/>
      <c r="EI23" s="142"/>
      <c r="EJ23" s="142"/>
      <c r="EK23" s="142"/>
      <c r="EL23" s="142"/>
      <c r="EM23" s="142"/>
      <c r="EN23" s="142"/>
      <c r="EO23" s="142"/>
      <c r="EP23" s="142"/>
      <c r="EQ23" s="142"/>
      <c r="ER23" s="142"/>
      <c r="ES23" s="142"/>
      <c r="ET23" s="142"/>
      <c r="EU23" s="142"/>
      <c r="EV23" s="142"/>
      <c r="EW23" s="142"/>
      <c r="EX23" s="142"/>
      <c r="EY23" s="142"/>
      <c r="EZ23" s="142"/>
      <c r="FA23" s="142"/>
      <c r="FB23" s="142"/>
      <c r="FC23" s="142"/>
      <c r="FD23" s="142"/>
      <c r="FE23" s="142"/>
      <c r="FF23" s="142"/>
      <c r="FG23" s="142"/>
      <c r="FH23" s="142"/>
      <c r="FI23" s="142"/>
      <c r="FJ23" s="142"/>
      <c r="FK23" s="142"/>
      <c r="FL23" s="142"/>
      <c r="FM23" s="142"/>
      <c r="FN23" s="142"/>
      <c r="FO23" s="142"/>
      <c r="FP23" s="142"/>
      <c r="FQ23" s="142"/>
      <c r="FR23" s="142"/>
      <c r="FS23" s="142"/>
      <c r="FT23" s="142"/>
      <c r="FU23" s="142"/>
      <c r="FV23" s="142"/>
      <c r="FW23" s="142"/>
      <c r="FX23" s="142"/>
      <c r="FY23" s="142"/>
      <c r="FZ23" s="142"/>
      <c r="GA23" s="142"/>
      <c r="GB23" s="142"/>
      <c r="GC23" s="142"/>
      <c r="GD23" s="142"/>
      <c r="GE23" s="142"/>
      <c r="GF23" s="142"/>
      <c r="GG23" s="142"/>
      <c r="GH23" s="142"/>
      <c r="GI23" s="142"/>
      <c r="GJ23" s="142"/>
      <c r="GK23" s="142"/>
      <c r="GL23" s="142"/>
      <c r="GM23" s="142"/>
    </row>
    <row r="24" spans="1:195" customFormat="1" ht="15" x14ac:dyDescent="0.25">
      <c r="A24" s="17" t="s">
        <v>82</v>
      </c>
      <c r="B24" s="47">
        <f t="shared" si="15"/>
        <v>0</v>
      </c>
      <c r="C24" s="6"/>
      <c r="D24" s="48"/>
      <c r="E24" s="6"/>
      <c r="F24" s="6">
        <f t="shared" si="16"/>
        <v>0</v>
      </c>
      <c r="G24" s="6"/>
      <c r="H24" s="6"/>
      <c r="I24" s="6"/>
      <c r="J24" s="47">
        <f t="shared" si="17"/>
        <v>0</v>
      </c>
      <c r="K24" s="6"/>
      <c r="L24" s="48"/>
      <c r="M24" s="6"/>
      <c r="N24" s="6">
        <f t="shared" si="18"/>
        <v>0</v>
      </c>
      <c r="O24" s="6"/>
      <c r="P24" s="6"/>
      <c r="Q24" s="6"/>
      <c r="R24" s="47">
        <f t="shared" si="19"/>
        <v>0</v>
      </c>
      <c r="S24" s="6"/>
      <c r="T24" s="48"/>
      <c r="U24" s="6"/>
      <c r="V24" s="6">
        <f t="shared" si="20"/>
        <v>0</v>
      </c>
      <c r="W24" s="6"/>
      <c r="X24" s="6"/>
      <c r="Y24" s="6"/>
      <c r="Z24" s="47">
        <f t="shared" si="21"/>
        <v>0</v>
      </c>
      <c r="AA24" s="6"/>
      <c r="AB24" s="48"/>
      <c r="AC24" s="6"/>
      <c r="AD24" s="6">
        <f t="shared" si="22"/>
        <v>0</v>
      </c>
      <c r="AE24" s="6"/>
      <c r="AF24" s="6"/>
      <c r="AG24" s="6"/>
      <c r="AH24" s="47">
        <f t="shared" si="23"/>
        <v>0</v>
      </c>
      <c r="AI24" s="6"/>
      <c r="AJ24" s="48"/>
      <c r="AK24" s="6"/>
      <c r="AL24" s="6">
        <f t="shared" si="24"/>
        <v>0</v>
      </c>
      <c r="AM24" s="6"/>
      <c r="AN24" s="6"/>
      <c r="AO24" s="6"/>
      <c r="AP24" s="47">
        <f t="shared" si="25"/>
        <v>0</v>
      </c>
      <c r="AQ24" s="6"/>
      <c r="AR24" s="48"/>
      <c r="AS24" s="6"/>
      <c r="AT24" s="6">
        <f t="shared" si="26"/>
        <v>0</v>
      </c>
      <c r="AU24" s="6"/>
      <c r="AV24" s="6"/>
      <c r="AW24" s="6"/>
      <c r="AX24" s="47">
        <f t="shared" si="27"/>
        <v>0</v>
      </c>
      <c r="AY24" s="6">
        <f t="shared" si="28"/>
        <v>0</v>
      </c>
      <c r="AZ24" s="6">
        <f t="shared" si="29"/>
        <v>0</v>
      </c>
      <c r="BA24" s="6"/>
      <c r="BB24" s="6"/>
      <c r="BC24" s="6"/>
      <c r="BD24" s="6"/>
      <c r="BE24" s="6"/>
      <c r="BF24" s="6"/>
      <c r="BG24" s="6"/>
      <c r="BH24" s="6"/>
      <c r="BI24" s="6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  <c r="CD24" s="142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  <c r="CP24" s="142"/>
      <c r="CQ24" s="142"/>
      <c r="CR24" s="142"/>
      <c r="CS24" s="142"/>
      <c r="CT24" s="142"/>
      <c r="CU24" s="142"/>
      <c r="CV24" s="142"/>
      <c r="CW24" s="142"/>
      <c r="CX24" s="142"/>
      <c r="CY24" s="142"/>
      <c r="CZ24" s="142"/>
      <c r="DA24" s="142"/>
      <c r="DB24" s="142"/>
      <c r="DC24" s="142"/>
      <c r="DD24" s="142"/>
      <c r="DE24" s="142"/>
      <c r="DF24" s="142"/>
      <c r="DG24" s="142"/>
      <c r="DH24" s="142"/>
      <c r="DI24" s="142"/>
      <c r="DJ24" s="142"/>
      <c r="DK24" s="142"/>
      <c r="DL24" s="142"/>
      <c r="DM24" s="142"/>
      <c r="DN24" s="142"/>
      <c r="DO24" s="142"/>
      <c r="DP24" s="142"/>
      <c r="DQ24" s="142"/>
      <c r="DR24" s="142"/>
      <c r="DS24" s="142"/>
      <c r="DT24" s="142"/>
      <c r="DU24" s="142"/>
      <c r="DV24" s="142"/>
      <c r="DW24" s="142"/>
      <c r="DX24" s="142"/>
      <c r="DY24" s="142"/>
      <c r="DZ24" s="142"/>
      <c r="EA24" s="142"/>
      <c r="EB24" s="142"/>
      <c r="EC24" s="142"/>
      <c r="ED24" s="142"/>
      <c r="EE24" s="142"/>
      <c r="EF24" s="142"/>
      <c r="EG24" s="142"/>
      <c r="EH24" s="142"/>
      <c r="EI24" s="142"/>
      <c r="EJ24" s="142"/>
      <c r="EK24" s="142"/>
      <c r="EL24" s="142"/>
      <c r="EM24" s="142"/>
      <c r="EN24" s="142"/>
      <c r="EO24" s="142"/>
      <c r="EP24" s="142"/>
      <c r="EQ24" s="142"/>
      <c r="ER24" s="142"/>
      <c r="ES24" s="142"/>
      <c r="ET24" s="142"/>
      <c r="EU24" s="142"/>
      <c r="EV24" s="142"/>
      <c r="EW24" s="142"/>
      <c r="EX24" s="142"/>
      <c r="EY24" s="142"/>
      <c r="EZ24" s="142"/>
      <c r="FA24" s="142"/>
      <c r="FB24" s="142"/>
      <c r="FC24" s="142"/>
      <c r="FD24" s="142"/>
      <c r="FE24" s="142"/>
      <c r="FF24" s="142"/>
      <c r="FG24" s="142"/>
      <c r="FH24" s="142"/>
      <c r="FI24" s="142"/>
      <c r="FJ24" s="142"/>
      <c r="FK24" s="142"/>
      <c r="FL24" s="142"/>
      <c r="FM24" s="142"/>
      <c r="FN24" s="142"/>
      <c r="FO24" s="142"/>
      <c r="FP24" s="142"/>
      <c r="FQ24" s="142"/>
      <c r="FR24" s="142"/>
      <c r="FS24" s="142"/>
      <c r="FT24" s="142"/>
      <c r="FU24" s="142"/>
      <c r="FV24" s="142"/>
      <c r="FW24" s="142"/>
      <c r="FX24" s="142"/>
      <c r="FY24" s="142"/>
      <c r="FZ24" s="142"/>
      <c r="GA24" s="142"/>
      <c r="GB24" s="142"/>
      <c r="GC24" s="142"/>
      <c r="GD24" s="142"/>
      <c r="GE24" s="142"/>
      <c r="GF24" s="142"/>
      <c r="GG24" s="142"/>
      <c r="GH24" s="142"/>
      <c r="GI24" s="142"/>
      <c r="GJ24" s="142"/>
      <c r="GK24" s="142"/>
      <c r="GL24" s="142"/>
      <c r="GM24" s="142"/>
    </row>
    <row r="25" spans="1:195" customFormat="1" ht="15" x14ac:dyDescent="0.25">
      <c r="A25" s="17" t="s">
        <v>90</v>
      </c>
      <c r="B25" s="47">
        <f t="shared" si="15"/>
        <v>0</v>
      </c>
      <c r="C25" s="6"/>
      <c r="D25" s="48"/>
      <c r="E25" s="6"/>
      <c r="F25" s="6">
        <f t="shared" si="16"/>
        <v>0</v>
      </c>
      <c r="G25" s="6"/>
      <c r="H25" s="6"/>
      <c r="I25" s="6"/>
      <c r="J25" s="47">
        <f t="shared" si="17"/>
        <v>0</v>
      </c>
      <c r="K25" s="6"/>
      <c r="L25" s="48"/>
      <c r="M25" s="6"/>
      <c r="N25" s="6">
        <f t="shared" si="18"/>
        <v>0</v>
      </c>
      <c r="O25" s="6"/>
      <c r="P25" s="6"/>
      <c r="Q25" s="6"/>
      <c r="R25" s="47">
        <f t="shared" si="19"/>
        <v>0</v>
      </c>
      <c r="S25" s="6"/>
      <c r="T25" s="48"/>
      <c r="U25" s="6"/>
      <c r="V25" s="6">
        <f t="shared" si="20"/>
        <v>0</v>
      </c>
      <c r="W25" s="6"/>
      <c r="X25" s="6"/>
      <c r="Y25" s="6"/>
      <c r="Z25" s="47">
        <f t="shared" si="21"/>
        <v>0</v>
      </c>
      <c r="AA25" s="6"/>
      <c r="AB25" s="48"/>
      <c r="AC25" s="6"/>
      <c r="AD25" s="6">
        <f t="shared" si="22"/>
        <v>0</v>
      </c>
      <c r="AE25" s="6"/>
      <c r="AF25" s="6"/>
      <c r="AG25" s="6"/>
      <c r="AH25" s="47">
        <f t="shared" si="23"/>
        <v>0</v>
      </c>
      <c r="AI25" s="6"/>
      <c r="AJ25" s="48"/>
      <c r="AK25" s="6"/>
      <c r="AL25" s="6">
        <f t="shared" si="24"/>
        <v>0</v>
      </c>
      <c r="AM25" s="6"/>
      <c r="AN25" s="6"/>
      <c r="AO25" s="6"/>
      <c r="AP25" s="47">
        <f t="shared" si="25"/>
        <v>0</v>
      </c>
      <c r="AQ25" s="6"/>
      <c r="AR25" s="48"/>
      <c r="AS25" s="6"/>
      <c r="AT25" s="6">
        <f t="shared" si="26"/>
        <v>0</v>
      </c>
      <c r="AU25" s="6"/>
      <c r="AV25" s="6"/>
      <c r="AW25" s="6"/>
      <c r="AX25" s="47">
        <f t="shared" si="27"/>
        <v>0</v>
      </c>
      <c r="AY25" s="6">
        <f t="shared" si="28"/>
        <v>0</v>
      </c>
      <c r="AZ25" s="6">
        <f t="shared" si="29"/>
        <v>0</v>
      </c>
      <c r="BA25" s="6"/>
      <c r="BB25" s="6"/>
      <c r="BC25" s="6"/>
      <c r="BD25" s="6"/>
      <c r="BE25" s="6"/>
      <c r="BF25" s="6"/>
      <c r="BG25" s="6"/>
      <c r="BH25" s="6"/>
      <c r="BI25" s="6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  <c r="CB25" s="142"/>
      <c r="CC25" s="142"/>
      <c r="CD25" s="142"/>
      <c r="CE25" s="142"/>
      <c r="CF25" s="142"/>
      <c r="CG25" s="142"/>
      <c r="CH25" s="142"/>
      <c r="CI25" s="142"/>
      <c r="CJ25" s="142"/>
      <c r="CK25" s="142"/>
      <c r="CL25" s="142"/>
      <c r="CM25" s="142"/>
      <c r="CN25" s="142"/>
      <c r="CO25" s="142"/>
      <c r="CP25" s="142"/>
      <c r="CQ25" s="142"/>
      <c r="CR25" s="142"/>
      <c r="CS25" s="142"/>
      <c r="CT25" s="142"/>
      <c r="CU25" s="142"/>
      <c r="CV25" s="142"/>
      <c r="CW25" s="142"/>
      <c r="CX25" s="142"/>
      <c r="CY25" s="142"/>
      <c r="CZ25" s="142"/>
      <c r="DA25" s="142"/>
      <c r="DB25" s="142"/>
      <c r="DC25" s="142"/>
      <c r="DD25" s="142"/>
      <c r="DE25" s="142"/>
      <c r="DF25" s="142"/>
      <c r="DG25" s="142"/>
      <c r="DH25" s="142"/>
      <c r="DI25" s="142"/>
      <c r="DJ25" s="142"/>
      <c r="DK25" s="142"/>
      <c r="DL25" s="142"/>
      <c r="DM25" s="142"/>
      <c r="DN25" s="142"/>
      <c r="DO25" s="142"/>
      <c r="DP25" s="142"/>
      <c r="DQ25" s="142"/>
      <c r="DR25" s="142"/>
      <c r="DS25" s="142"/>
      <c r="DT25" s="142"/>
      <c r="DU25" s="142"/>
      <c r="DV25" s="142"/>
      <c r="DW25" s="142"/>
      <c r="DX25" s="142"/>
      <c r="DY25" s="142"/>
      <c r="DZ25" s="142"/>
      <c r="EA25" s="142"/>
      <c r="EB25" s="142"/>
      <c r="EC25" s="142"/>
      <c r="ED25" s="142"/>
      <c r="EE25" s="142"/>
      <c r="EF25" s="142"/>
      <c r="EG25" s="142"/>
      <c r="EH25" s="142"/>
      <c r="EI25" s="142"/>
      <c r="EJ25" s="142"/>
      <c r="EK25" s="142"/>
      <c r="EL25" s="142"/>
      <c r="EM25" s="142"/>
      <c r="EN25" s="142"/>
      <c r="EO25" s="142"/>
      <c r="EP25" s="142"/>
      <c r="EQ25" s="142"/>
      <c r="ER25" s="142"/>
      <c r="ES25" s="142"/>
      <c r="ET25" s="142"/>
      <c r="EU25" s="142"/>
      <c r="EV25" s="142"/>
      <c r="EW25" s="142"/>
      <c r="EX25" s="142"/>
      <c r="EY25" s="142"/>
      <c r="EZ25" s="142"/>
      <c r="FA25" s="142"/>
      <c r="FB25" s="142"/>
      <c r="FC25" s="142"/>
      <c r="FD25" s="142"/>
      <c r="FE25" s="142"/>
      <c r="FF25" s="142"/>
      <c r="FG25" s="142"/>
      <c r="FH25" s="142"/>
      <c r="FI25" s="142"/>
      <c r="FJ25" s="142"/>
      <c r="FK25" s="142"/>
      <c r="FL25" s="142"/>
      <c r="FM25" s="142"/>
      <c r="FN25" s="142"/>
      <c r="FO25" s="142"/>
      <c r="FP25" s="142"/>
      <c r="FQ25" s="142"/>
      <c r="FR25" s="142"/>
      <c r="FS25" s="142"/>
      <c r="FT25" s="142"/>
      <c r="FU25" s="142"/>
      <c r="FV25" s="142"/>
      <c r="FW25" s="142"/>
      <c r="FX25" s="142"/>
      <c r="FY25" s="142"/>
      <c r="FZ25" s="142"/>
      <c r="GA25" s="142"/>
      <c r="GB25" s="142"/>
      <c r="GC25" s="142"/>
      <c r="GD25" s="142"/>
      <c r="GE25" s="142"/>
      <c r="GF25" s="142"/>
      <c r="GG25" s="142"/>
      <c r="GH25" s="142"/>
      <c r="GI25" s="142"/>
      <c r="GJ25" s="142"/>
      <c r="GK25" s="142"/>
      <c r="GL25" s="142"/>
      <c r="GM25" s="142"/>
    </row>
    <row r="26" spans="1:195" customFormat="1" ht="15" x14ac:dyDescent="0.25">
      <c r="A26" s="17" t="s">
        <v>81</v>
      </c>
      <c r="B26" s="47">
        <f t="shared" si="15"/>
        <v>0</v>
      </c>
      <c r="C26" s="6"/>
      <c r="D26" s="48"/>
      <c r="E26" s="6"/>
      <c r="F26" s="6">
        <f t="shared" si="16"/>
        <v>0</v>
      </c>
      <c r="G26" s="6"/>
      <c r="H26" s="6"/>
      <c r="I26" s="6"/>
      <c r="J26" s="47">
        <f t="shared" si="17"/>
        <v>0</v>
      </c>
      <c r="K26" s="6"/>
      <c r="L26" s="48"/>
      <c r="M26" s="6"/>
      <c r="N26" s="6">
        <f t="shared" si="18"/>
        <v>0</v>
      </c>
      <c r="O26" s="6"/>
      <c r="P26" s="6"/>
      <c r="Q26" s="6"/>
      <c r="R26" s="47">
        <f t="shared" si="19"/>
        <v>0</v>
      </c>
      <c r="S26" s="6"/>
      <c r="T26" s="48"/>
      <c r="U26" s="6"/>
      <c r="V26" s="6">
        <f t="shared" si="20"/>
        <v>0</v>
      </c>
      <c r="W26" s="6"/>
      <c r="X26" s="6"/>
      <c r="Y26" s="6"/>
      <c r="Z26" s="47">
        <f t="shared" si="21"/>
        <v>0</v>
      </c>
      <c r="AA26" s="6"/>
      <c r="AB26" s="48"/>
      <c r="AC26" s="6"/>
      <c r="AD26" s="6">
        <f t="shared" si="22"/>
        <v>0</v>
      </c>
      <c r="AE26" s="6"/>
      <c r="AF26" s="6"/>
      <c r="AG26" s="6"/>
      <c r="AH26" s="47">
        <f t="shared" si="23"/>
        <v>0</v>
      </c>
      <c r="AI26" s="6"/>
      <c r="AJ26" s="48"/>
      <c r="AK26" s="6"/>
      <c r="AL26" s="6">
        <f t="shared" si="24"/>
        <v>0</v>
      </c>
      <c r="AM26" s="6"/>
      <c r="AN26" s="6"/>
      <c r="AO26" s="6"/>
      <c r="AP26" s="47">
        <f t="shared" si="25"/>
        <v>0</v>
      </c>
      <c r="AQ26" s="6"/>
      <c r="AR26" s="48"/>
      <c r="AS26" s="6"/>
      <c r="AT26" s="6">
        <f t="shared" si="26"/>
        <v>0</v>
      </c>
      <c r="AU26" s="6"/>
      <c r="AV26" s="6"/>
      <c r="AW26" s="6"/>
      <c r="AX26" s="47">
        <f t="shared" si="27"/>
        <v>0</v>
      </c>
      <c r="AY26" s="6">
        <f t="shared" si="28"/>
        <v>0</v>
      </c>
      <c r="AZ26" s="6">
        <f t="shared" si="29"/>
        <v>0</v>
      </c>
      <c r="BA26" s="6"/>
      <c r="BB26" s="6"/>
      <c r="BC26" s="6"/>
      <c r="BD26" s="6"/>
      <c r="BE26" s="6"/>
      <c r="BF26" s="6"/>
      <c r="BG26" s="6"/>
      <c r="BH26" s="6"/>
      <c r="BI26" s="6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  <c r="CD26" s="142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  <c r="CO26" s="142"/>
      <c r="CP26" s="142"/>
      <c r="CQ26" s="142"/>
      <c r="CR26" s="142"/>
      <c r="CS26" s="142"/>
      <c r="CT26" s="142"/>
      <c r="CU26" s="142"/>
      <c r="CV26" s="142"/>
      <c r="CW26" s="142"/>
      <c r="CX26" s="142"/>
      <c r="CY26" s="142"/>
      <c r="CZ26" s="142"/>
      <c r="DA26" s="142"/>
      <c r="DB26" s="142"/>
      <c r="DC26" s="142"/>
      <c r="DD26" s="142"/>
      <c r="DE26" s="142"/>
      <c r="DF26" s="142"/>
      <c r="DG26" s="142"/>
      <c r="DH26" s="142"/>
      <c r="DI26" s="142"/>
      <c r="DJ26" s="142"/>
      <c r="DK26" s="142"/>
      <c r="DL26" s="142"/>
      <c r="DM26" s="142"/>
      <c r="DN26" s="142"/>
      <c r="DO26" s="142"/>
      <c r="DP26" s="142"/>
      <c r="DQ26" s="142"/>
      <c r="DR26" s="142"/>
      <c r="DS26" s="142"/>
      <c r="DT26" s="142"/>
      <c r="DU26" s="142"/>
      <c r="DV26" s="142"/>
      <c r="DW26" s="142"/>
      <c r="DX26" s="142"/>
      <c r="DY26" s="142"/>
      <c r="DZ26" s="142"/>
      <c r="EA26" s="142"/>
      <c r="EB26" s="142"/>
      <c r="EC26" s="142"/>
      <c r="ED26" s="142"/>
      <c r="EE26" s="142"/>
      <c r="EF26" s="142"/>
      <c r="EG26" s="142"/>
      <c r="EH26" s="142"/>
      <c r="EI26" s="142"/>
      <c r="EJ26" s="142"/>
      <c r="EK26" s="142"/>
      <c r="EL26" s="142"/>
      <c r="EM26" s="142"/>
      <c r="EN26" s="142"/>
      <c r="EO26" s="142"/>
      <c r="EP26" s="142"/>
      <c r="EQ26" s="142"/>
      <c r="ER26" s="142"/>
      <c r="ES26" s="142"/>
      <c r="ET26" s="142"/>
      <c r="EU26" s="142"/>
      <c r="EV26" s="142"/>
      <c r="EW26" s="142"/>
      <c r="EX26" s="142"/>
      <c r="EY26" s="142"/>
      <c r="EZ26" s="142"/>
      <c r="FA26" s="142"/>
      <c r="FB26" s="142"/>
      <c r="FC26" s="142"/>
      <c r="FD26" s="142"/>
      <c r="FE26" s="142"/>
      <c r="FF26" s="142"/>
      <c r="FG26" s="142"/>
      <c r="FH26" s="142"/>
      <c r="FI26" s="142"/>
      <c r="FJ26" s="142"/>
      <c r="FK26" s="142"/>
      <c r="FL26" s="142"/>
      <c r="FM26" s="142"/>
      <c r="FN26" s="142"/>
      <c r="FO26" s="142"/>
      <c r="FP26" s="142"/>
      <c r="FQ26" s="142"/>
      <c r="FR26" s="142"/>
      <c r="FS26" s="142"/>
      <c r="FT26" s="142"/>
      <c r="FU26" s="142"/>
      <c r="FV26" s="142"/>
      <c r="FW26" s="142"/>
      <c r="FX26" s="142"/>
      <c r="FY26" s="142"/>
      <c r="FZ26" s="142"/>
      <c r="GA26" s="142"/>
      <c r="GB26" s="142"/>
      <c r="GC26" s="142"/>
      <c r="GD26" s="142"/>
      <c r="GE26" s="142"/>
      <c r="GF26" s="142"/>
      <c r="GG26" s="142"/>
      <c r="GH26" s="142"/>
      <c r="GI26" s="142"/>
      <c r="GJ26" s="142"/>
      <c r="GK26" s="142"/>
      <c r="GL26" s="142"/>
      <c r="GM26" s="142"/>
    </row>
    <row r="27" spans="1:195" customFormat="1" ht="15" x14ac:dyDescent="0.25">
      <c r="A27" s="17" t="s">
        <v>82</v>
      </c>
      <c r="B27" s="47">
        <f t="shared" si="15"/>
        <v>0</v>
      </c>
      <c r="C27" s="6"/>
      <c r="D27" s="48"/>
      <c r="E27" s="6"/>
      <c r="F27" s="6">
        <f t="shared" si="16"/>
        <v>0</v>
      </c>
      <c r="G27" s="6"/>
      <c r="H27" s="6"/>
      <c r="I27" s="6"/>
      <c r="J27" s="47">
        <f t="shared" si="17"/>
        <v>0</v>
      </c>
      <c r="K27" s="6"/>
      <c r="L27" s="48"/>
      <c r="M27" s="6"/>
      <c r="N27" s="6">
        <f t="shared" si="18"/>
        <v>0</v>
      </c>
      <c r="O27" s="6"/>
      <c r="P27" s="6"/>
      <c r="Q27" s="6"/>
      <c r="R27" s="47">
        <f t="shared" si="19"/>
        <v>0</v>
      </c>
      <c r="S27" s="6"/>
      <c r="T27" s="48"/>
      <c r="U27" s="6"/>
      <c r="V27" s="6">
        <f t="shared" si="20"/>
        <v>0</v>
      </c>
      <c r="W27" s="6"/>
      <c r="X27" s="6"/>
      <c r="Y27" s="6"/>
      <c r="Z27" s="47">
        <f t="shared" si="21"/>
        <v>0</v>
      </c>
      <c r="AA27" s="6"/>
      <c r="AB27" s="48"/>
      <c r="AC27" s="6"/>
      <c r="AD27" s="6">
        <f t="shared" si="22"/>
        <v>0</v>
      </c>
      <c r="AE27" s="6"/>
      <c r="AF27" s="6"/>
      <c r="AG27" s="6"/>
      <c r="AH27" s="47">
        <f t="shared" si="23"/>
        <v>0</v>
      </c>
      <c r="AI27" s="6"/>
      <c r="AJ27" s="48"/>
      <c r="AK27" s="6"/>
      <c r="AL27" s="6">
        <f t="shared" si="24"/>
        <v>0</v>
      </c>
      <c r="AM27" s="6"/>
      <c r="AN27" s="6"/>
      <c r="AO27" s="6"/>
      <c r="AP27" s="47">
        <f t="shared" si="25"/>
        <v>0</v>
      </c>
      <c r="AQ27" s="6"/>
      <c r="AR27" s="48"/>
      <c r="AS27" s="6"/>
      <c r="AT27" s="6">
        <f t="shared" si="26"/>
        <v>0</v>
      </c>
      <c r="AU27" s="6"/>
      <c r="AV27" s="6"/>
      <c r="AW27" s="6"/>
      <c r="AX27" s="47">
        <f t="shared" si="27"/>
        <v>0</v>
      </c>
      <c r="AY27" s="6">
        <f t="shared" si="28"/>
        <v>0</v>
      </c>
      <c r="AZ27" s="6">
        <f t="shared" si="29"/>
        <v>0</v>
      </c>
      <c r="BA27" s="6"/>
      <c r="BB27" s="6"/>
      <c r="BC27" s="6"/>
      <c r="BD27" s="6"/>
      <c r="BE27" s="6"/>
      <c r="BF27" s="6"/>
      <c r="BG27" s="6"/>
      <c r="BH27" s="6"/>
      <c r="BI27" s="6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  <c r="CB27" s="142"/>
      <c r="CC27" s="142"/>
      <c r="CD27" s="142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  <c r="CP27" s="142"/>
      <c r="CQ27" s="142"/>
      <c r="CR27" s="142"/>
      <c r="CS27" s="142"/>
      <c r="CT27" s="142"/>
      <c r="CU27" s="142"/>
      <c r="CV27" s="142"/>
      <c r="CW27" s="142"/>
      <c r="CX27" s="142"/>
      <c r="CY27" s="142"/>
      <c r="CZ27" s="142"/>
      <c r="DA27" s="142"/>
      <c r="DB27" s="142"/>
      <c r="DC27" s="142"/>
      <c r="DD27" s="142"/>
      <c r="DE27" s="142"/>
      <c r="DF27" s="142"/>
      <c r="DG27" s="142"/>
      <c r="DH27" s="142"/>
      <c r="DI27" s="142"/>
      <c r="DJ27" s="142"/>
      <c r="DK27" s="142"/>
      <c r="DL27" s="142"/>
      <c r="DM27" s="142"/>
      <c r="DN27" s="142"/>
      <c r="DO27" s="142"/>
      <c r="DP27" s="142"/>
      <c r="DQ27" s="142"/>
      <c r="DR27" s="142"/>
      <c r="DS27" s="142"/>
      <c r="DT27" s="142"/>
      <c r="DU27" s="142"/>
      <c r="DV27" s="142"/>
      <c r="DW27" s="142"/>
      <c r="DX27" s="142"/>
      <c r="DY27" s="142"/>
      <c r="DZ27" s="142"/>
      <c r="EA27" s="142"/>
      <c r="EB27" s="142"/>
      <c r="EC27" s="142"/>
      <c r="ED27" s="142"/>
      <c r="EE27" s="142"/>
      <c r="EF27" s="142"/>
      <c r="EG27" s="142"/>
      <c r="EH27" s="142"/>
      <c r="EI27" s="142"/>
      <c r="EJ27" s="142"/>
      <c r="EK27" s="142"/>
      <c r="EL27" s="142"/>
      <c r="EM27" s="142"/>
      <c r="EN27" s="142"/>
      <c r="EO27" s="142"/>
      <c r="EP27" s="142"/>
      <c r="EQ27" s="142"/>
      <c r="ER27" s="142"/>
      <c r="ES27" s="142"/>
      <c r="ET27" s="142"/>
      <c r="EU27" s="142"/>
      <c r="EV27" s="142"/>
      <c r="EW27" s="142"/>
      <c r="EX27" s="142"/>
      <c r="EY27" s="142"/>
      <c r="EZ27" s="142"/>
      <c r="FA27" s="142"/>
      <c r="FB27" s="142"/>
      <c r="FC27" s="142"/>
      <c r="FD27" s="142"/>
      <c r="FE27" s="142"/>
      <c r="FF27" s="142"/>
      <c r="FG27" s="142"/>
      <c r="FH27" s="142"/>
      <c r="FI27" s="142"/>
      <c r="FJ27" s="142"/>
      <c r="FK27" s="142"/>
      <c r="FL27" s="142"/>
      <c r="FM27" s="142"/>
      <c r="FN27" s="142"/>
      <c r="FO27" s="142"/>
      <c r="FP27" s="142"/>
      <c r="FQ27" s="142"/>
      <c r="FR27" s="142"/>
      <c r="FS27" s="142"/>
      <c r="FT27" s="142"/>
      <c r="FU27" s="142"/>
      <c r="FV27" s="142"/>
      <c r="FW27" s="142"/>
      <c r="FX27" s="142"/>
      <c r="FY27" s="142"/>
      <c r="FZ27" s="142"/>
      <c r="GA27" s="142"/>
      <c r="GB27" s="142"/>
      <c r="GC27" s="142"/>
      <c r="GD27" s="142"/>
      <c r="GE27" s="142"/>
      <c r="GF27" s="142"/>
      <c r="GG27" s="142"/>
      <c r="GH27" s="142"/>
      <c r="GI27" s="142"/>
      <c r="GJ27" s="142"/>
      <c r="GK27" s="142"/>
      <c r="GL27" s="142"/>
      <c r="GM27" s="142"/>
    </row>
    <row r="28" spans="1:195" customFormat="1" ht="15" x14ac:dyDescent="0.25">
      <c r="A28" s="17" t="s">
        <v>91</v>
      </c>
      <c r="B28" s="47">
        <f t="shared" si="15"/>
        <v>0</v>
      </c>
      <c r="C28" s="6"/>
      <c r="D28" s="48"/>
      <c r="E28" s="6"/>
      <c r="F28" s="6">
        <f t="shared" si="16"/>
        <v>0</v>
      </c>
      <c r="G28" s="6"/>
      <c r="H28" s="6"/>
      <c r="I28" s="6"/>
      <c r="J28" s="47">
        <f t="shared" si="17"/>
        <v>0</v>
      </c>
      <c r="K28" s="6"/>
      <c r="L28" s="48"/>
      <c r="M28" s="6"/>
      <c r="N28" s="6">
        <f t="shared" si="18"/>
        <v>0</v>
      </c>
      <c r="O28" s="6"/>
      <c r="P28" s="6"/>
      <c r="Q28" s="6"/>
      <c r="R28" s="47">
        <f t="shared" si="19"/>
        <v>0</v>
      </c>
      <c r="S28" s="6"/>
      <c r="T28" s="48"/>
      <c r="U28" s="6"/>
      <c r="V28" s="6">
        <f t="shared" si="20"/>
        <v>0</v>
      </c>
      <c r="W28" s="6"/>
      <c r="X28" s="6"/>
      <c r="Y28" s="6"/>
      <c r="Z28" s="47">
        <f t="shared" si="21"/>
        <v>0</v>
      </c>
      <c r="AA28" s="6"/>
      <c r="AB28" s="48"/>
      <c r="AC28" s="6"/>
      <c r="AD28" s="6">
        <f t="shared" si="22"/>
        <v>0</v>
      </c>
      <c r="AE28" s="6"/>
      <c r="AF28" s="6"/>
      <c r="AG28" s="6"/>
      <c r="AH28" s="47">
        <f t="shared" si="23"/>
        <v>0</v>
      </c>
      <c r="AI28" s="6"/>
      <c r="AJ28" s="48"/>
      <c r="AK28" s="6"/>
      <c r="AL28" s="6">
        <f t="shared" si="24"/>
        <v>0</v>
      </c>
      <c r="AM28" s="6"/>
      <c r="AN28" s="6"/>
      <c r="AO28" s="6"/>
      <c r="AP28" s="47">
        <f t="shared" si="25"/>
        <v>0</v>
      </c>
      <c r="AQ28" s="6"/>
      <c r="AR28" s="48"/>
      <c r="AS28" s="6"/>
      <c r="AT28" s="6">
        <f t="shared" si="26"/>
        <v>0</v>
      </c>
      <c r="AU28" s="6"/>
      <c r="AV28" s="6"/>
      <c r="AW28" s="6"/>
      <c r="AX28" s="47">
        <f t="shared" si="27"/>
        <v>0</v>
      </c>
      <c r="AY28" s="6">
        <f t="shared" si="28"/>
        <v>0</v>
      </c>
      <c r="AZ28" s="6">
        <f t="shared" si="29"/>
        <v>0</v>
      </c>
      <c r="BA28" s="6"/>
      <c r="BB28" s="6"/>
      <c r="BC28" s="6"/>
      <c r="BD28" s="6"/>
      <c r="BE28" s="6"/>
      <c r="BF28" s="6"/>
      <c r="BG28" s="6"/>
      <c r="BH28" s="6"/>
      <c r="BI28" s="6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  <c r="CD28" s="142"/>
      <c r="CE28" s="142"/>
      <c r="CF28" s="142"/>
      <c r="CG28" s="142"/>
      <c r="CH28" s="142"/>
      <c r="CI28" s="142"/>
      <c r="CJ28" s="142"/>
      <c r="CK28" s="142"/>
      <c r="CL28" s="142"/>
      <c r="CM28" s="142"/>
      <c r="CN28" s="142"/>
      <c r="CO28" s="142"/>
      <c r="CP28" s="142"/>
      <c r="CQ28" s="142"/>
      <c r="CR28" s="142"/>
      <c r="CS28" s="142"/>
      <c r="CT28" s="142"/>
      <c r="CU28" s="142"/>
      <c r="CV28" s="142"/>
      <c r="CW28" s="142"/>
      <c r="CX28" s="142"/>
      <c r="CY28" s="142"/>
      <c r="CZ28" s="142"/>
      <c r="DA28" s="142"/>
      <c r="DB28" s="142"/>
      <c r="DC28" s="142"/>
      <c r="DD28" s="142"/>
      <c r="DE28" s="142"/>
      <c r="DF28" s="142"/>
      <c r="DG28" s="142"/>
      <c r="DH28" s="142"/>
      <c r="DI28" s="142"/>
      <c r="DJ28" s="142"/>
      <c r="DK28" s="142"/>
      <c r="DL28" s="142"/>
      <c r="DM28" s="142"/>
      <c r="DN28" s="142"/>
      <c r="DO28" s="142"/>
      <c r="DP28" s="142"/>
      <c r="DQ28" s="142"/>
      <c r="DR28" s="142"/>
      <c r="DS28" s="142"/>
      <c r="DT28" s="142"/>
      <c r="DU28" s="142"/>
      <c r="DV28" s="142"/>
      <c r="DW28" s="142"/>
      <c r="DX28" s="142"/>
      <c r="DY28" s="142"/>
      <c r="DZ28" s="142"/>
      <c r="EA28" s="142"/>
      <c r="EB28" s="142"/>
      <c r="EC28" s="142"/>
      <c r="ED28" s="142"/>
      <c r="EE28" s="142"/>
      <c r="EF28" s="142"/>
      <c r="EG28" s="142"/>
      <c r="EH28" s="142"/>
      <c r="EI28" s="142"/>
      <c r="EJ28" s="142"/>
      <c r="EK28" s="142"/>
      <c r="EL28" s="142"/>
      <c r="EM28" s="142"/>
      <c r="EN28" s="142"/>
      <c r="EO28" s="142"/>
      <c r="EP28" s="142"/>
      <c r="EQ28" s="142"/>
      <c r="ER28" s="142"/>
      <c r="ES28" s="142"/>
      <c r="ET28" s="142"/>
      <c r="EU28" s="142"/>
      <c r="EV28" s="142"/>
      <c r="EW28" s="142"/>
      <c r="EX28" s="142"/>
      <c r="EY28" s="142"/>
      <c r="EZ28" s="142"/>
      <c r="FA28" s="142"/>
      <c r="FB28" s="142"/>
      <c r="FC28" s="142"/>
      <c r="FD28" s="142"/>
      <c r="FE28" s="142"/>
      <c r="FF28" s="142"/>
      <c r="FG28" s="142"/>
      <c r="FH28" s="142"/>
      <c r="FI28" s="142"/>
      <c r="FJ28" s="142"/>
      <c r="FK28" s="142"/>
      <c r="FL28" s="142"/>
      <c r="FM28" s="142"/>
      <c r="FN28" s="142"/>
      <c r="FO28" s="142"/>
      <c r="FP28" s="142"/>
      <c r="FQ28" s="142"/>
      <c r="FR28" s="142"/>
      <c r="FS28" s="142"/>
      <c r="FT28" s="142"/>
      <c r="FU28" s="142"/>
      <c r="FV28" s="142"/>
      <c r="FW28" s="142"/>
      <c r="FX28" s="142"/>
      <c r="FY28" s="142"/>
      <c r="FZ28" s="142"/>
      <c r="GA28" s="142"/>
      <c r="GB28" s="142"/>
      <c r="GC28" s="142"/>
      <c r="GD28" s="142"/>
      <c r="GE28" s="142"/>
      <c r="GF28" s="142"/>
      <c r="GG28" s="142"/>
      <c r="GH28" s="142"/>
      <c r="GI28" s="142"/>
      <c r="GJ28" s="142"/>
      <c r="GK28" s="142"/>
      <c r="GL28" s="142"/>
      <c r="GM28" s="142"/>
    </row>
    <row r="29" spans="1:195" customFormat="1" ht="15" x14ac:dyDescent="0.25">
      <c r="A29" s="17" t="s">
        <v>81</v>
      </c>
      <c r="B29" s="47">
        <f t="shared" si="15"/>
        <v>0</v>
      </c>
      <c r="C29" s="6"/>
      <c r="D29" s="48"/>
      <c r="E29" s="6"/>
      <c r="F29" s="6">
        <f t="shared" si="16"/>
        <v>0</v>
      </c>
      <c r="G29" s="6"/>
      <c r="H29" s="6"/>
      <c r="I29" s="6"/>
      <c r="J29" s="47">
        <f t="shared" si="17"/>
        <v>0</v>
      </c>
      <c r="K29" s="6"/>
      <c r="L29" s="48"/>
      <c r="M29" s="6"/>
      <c r="N29" s="6">
        <f t="shared" si="18"/>
        <v>0</v>
      </c>
      <c r="O29" s="6"/>
      <c r="P29" s="6"/>
      <c r="Q29" s="6"/>
      <c r="R29" s="47">
        <f t="shared" si="19"/>
        <v>0</v>
      </c>
      <c r="S29" s="6"/>
      <c r="T29" s="48"/>
      <c r="U29" s="6"/>
      <c r="V29" s="6">
        <f t="shared" si="20"/>
        <v>0</v>
      </c>
      <c r="W29" s="6"/>
      <c r="X29" s="6"/>
      <c r="Y29" s="6"/>
      <c r="Z29" s="47">
        <f t="shared" si="21"/>
        <v>0</v>
      </c>
      <c r="AA29" s="6"/>
      <c r="AB29" s="48"/>
      <c r="AC29" s="6"/>
      <c r="AD29" s="6">
        <f t="shared" si="22"/>
        <v>0</v>
      </c>
      <c r="AE29" s="6"/>
      <c r="AF29" s="6"/>
      <c r="AG29" s="6"/>
      <c r="AH29" s="47">
        <f t="shared" si="23"/>
        <v>0</v>
      </c>
      <c r="AI29" s="6"/>
      <c r="AJ29" s="48"/>
      <c r="AK29" s="6"/>
      <c r="AL29" s="6">
        <f t="shared" si="24"/>
        <v>0</v>
      </c>
      <c r="AM29" s="6"/>
      <c r="AN29" s="6"/>
      <c r="AO29" s="6"/>
      <c r="AP29" s="47">
        <f t="shared" si="25"/>
        <v>0</v>
      </c>
      <c r="AQ29" s="6"/>
      <c r="AR29" s="48"/>
      <c r="AS29" s="6"/>
      <c r="AT29" s="6">
        <f t="shared" si="26"/>
        <v>0</v>
      </c>
      <c r="AU29" s="6"/>
      <c r="AV29" s="6"/>
      <c r="AW29" s="6"/>
      <c r="AX29" s="47">
        <f t="shared" si="27"/>
        <v>0</v>
      </c>
      <c r="AY29" s="6">
        <f t="shared" si="28"/>
        <v>0</v>
      </c>
      <c r="AZ29" s="6">
        <f t="shared" si="29"/>
        <v>0</v>
      </c>
      <c r="BA29" s="6"/>
      <c r="BB29" s="6"/>
      <c r="BC29" s="6"/>
      <c r="BD29" s="6"/>
      <c r="BE29" s="6"/>
      <c r="BF29" s="6"/>
      <c r="BG29" s="6"/>
      <c r="BH29" s="6"/>
      <c r="BI29" s="6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  <c r="CB29" s="142"/>
      <c r="CC29" s="142"/>
      <c r="CD29" s="142"/>
      <c r="CE29" s="142"/>
      <c r="CF29" s="142"/>
      <c r="CG29" s="142"/>
      <c r="CH29" s="142"/>
      <c r="CI29" s="142"/>
      <c r="CJ29" s="142"/>
      <c r="CK29" s="142"/>
      <c r="CL29" s="142"/>
      <c r="CM29" s="142"/>
      <c r="CN29" s="142"/>
      <c r="CO29" s="142"/>
      <c r="CP29" s="142"/>
      <c r="CQ29" s="142"/>
      <c r="CR29" s="142"/>
      <c r="CS29" s="142"/>
      <c r="CT29" s="142"/>
      <c r="CU29" s="142"/>
      <c r="CV29" s="142"/>
      <c r="CW29" s="142"/>
      <c r="CX29" s="142"/>
      <c r="CY29" s="142"/>
      <c r="CZ29" s="142"/>
      <c r="DA29" s="142"/>
      <c r="DB29" s="142"/>
      <c r="DC29" s="142"/>
      <c r="DD29" s="142"/>
      <c r="DE29" s="142"/>
      <c r="DF29" s="142"/>
      <c r="DG29" s="142"/>
      <c r="DH29" s="142"/>
      <c r="DI29" s="142"/>
      <c r="DJ29" s="142"/>
      <c r="DK29" s="142"/>
      <c r="DL29" s="142"/>
      <c r="DM29" s="142"/>
      <c r="DN29" s="142"/>
      <c r="DO29" s="142"/>
      <c r="DP29" s="142"/>
      <c r="DQ29" s="142"/>
      <c r="DR29" s="142"/>
      <c r="DS29" s="142"/>
      <c r="DT29" s="142"/>
      <c r="DU29" s="142"/>
      <c r="DV29" s="142"/>
      <c r="DW29" s="142"/>
      <c r="DX29" s="142"/>
      <c r="DY29" s="142"/>
      <c r="DZ29" s="142"/>
      <c r="EA29" s="142"/>
      <c r="EB29" s="142"/>
      <c r="EC29" s="142"/>
      <c r="ED29" s="142"/>
      <c r="EE29" s="142"/>
      <c r="EF29" s="142"/>
      <c r="EG29" s="142"/>
      <c r="EH29" s="142"/>
      <c r="EI29" s="142"/>
      <c r="EJ29" s="142"/>
      <c r="EK29" s="142"/>
      <c r="EL29" s="142"/>
      <c r="EM29" s="142"/>
      <c r="EN29" s="142"/>
      <c r="EO29" s="142"/>
      <c r="EP29" s="142"/>
      <c r="EQ29" s="142"/>
      <c r="ER29" s="142"/>
      <c r="ES29" s="142"/>
      <c r="ET29" s="142"/>
      <c r="EU29" s="142"/>
      <c r="EV29" s="142"/>
      <c r="EW29" s="142"/>
      <c r="EX29" s="142"/>
      <c r="EY29" s="142"/>
      <c r="EZ29" s="142"/>
      <c r="FA29" s="142"/>
      <c r="FB29" s="142"/>
      <c r="FC29" s="142"/>
      <c r="FD29" s="142"/>
      <c r="FE29" s="142"/>
      <c r="FF29" s="142"/>
      <c r="FG29" s="142"/>
      <c r="FH29" s="142"/>
      <c r="FI29" s="142"/>
      <c r="FJ29" s="142"/>
      <c r="FK29" s="142"/>
      <c r="FL29" s="142"/>
      <c r="FM29" s="142"/>
      <c r="FN29" s="142"/>
      <c r="FO29" s="142"/>
      <c r="FP29" s="142"/>
      <c r="FQ29" s="142"/>
      <c r="FR29" s="142"/>
      <c r="FS29" s="142"/>
      <c r="FT29" s="142"/>
      <c r="FU29" s="142"/>
      <c r="FV29" s="142"/>
      <c r="FW29" s="142"/>
      <c r="FX29" s="142"/>
      <c r="FY29" s="142"/>
      <c r="FZ29" s="142"/>
      <c r="GA29" s="142"/>
      <c r="GB29" s="142"/>
      <c r="GC29" s="142"/>
      <c r="GD29" s="142"/>
      <c r="GE29" s="142"/>
      <c r="GF29" s="142"/>
      <c r="GG29" s="142"/>
      <c r="GH29" s="142"/>
      <c r="GI29" s="142"/>
      <c r="GJ29" s="142"/>
      <c r="GK29" s="142"/>
      <c r="GL29" s="142"/>
      <c r="GM29" s="142"/>
    </row>
    <row r="30" spans="1:195" customFormat="1" ht="15" x14ac:dyDescent="0.25">
      <c r="A30" s="17" t="s">
        <v>82</v>
      </c>
      <c r="B30" s="47">
        <f t="shared" si="15"/>
        <v>0</v>
      </c>
      <c r="C30" s="6"/>
      <c r="D30" s="48"/>
      <c r="E30" s="6"/>
      <c r="F30" s="6">
        <f t="shared" si="16"/>
        <v>0</v>
      </c>
      <c r="G30" s="6"/>
      <c r="H30" s="6"/>
      <c r="I30" s="6"/>
      <c r="J30" s="47">
        <f t="shared" si="17"/>
        <v>0</v>
      </c>
      <c r="K30" s="6"/>
      <c r="L30" s="48"/>
      <c r="M30" s="6"/>
      <c r="N30" s="6">
        <f t="shared" si="18"/>
        <v>0</v>
      </c>
      <c r="O30" s="6"/>
      <c r="P30" s="6"/>
      <c r="Q30" s="6"/>
      <c r="R30" s="47">
        <f t="shared" si="19"/>
        <v>0</v>
      </c>
      <c r="S30" s="6"/>
      <c r="T30" s="48"/>
      <c r="U30" s="6"/>
      <c r="V30" s="6">
        <f t="shared" si="20"/>
        <v>0</v>
      </c>
      <c r="W30" s="6"/>
      <c r="X30" s="6"/>
      <c r="Y30" s="6"/>
      <c r="Z30" s="47">
        <f t="shared" si="21"/>
        <v>0</v>
      </c>
      <c r="AA30" s="6"/>
      <c r="AB30" s="48"/>
      <c r="AC30" s="6"/>
      <c r="AD30" s="6">
        <f t="shared" si="22"/>
        <v>0</v>
      </c>
      <c r="AE30" s="6"/>
      <c r="AF30" s="6"/>
      <c r="AG30" s="6"/>
      <c r="AH30" s="47">
        <f t="shared" si="23"/>
        <v>0</v>
      </c>
      <c r="AI30" s="6"/>
      <c r="AJ30" s="48"/>
      <c r="AK30" s="6"/>
      <c r="AL30" s="6">
        <f t="shared" si="24"/>
        <v>0</v>
      </c>
      <c r="AM30" s="6"/>
      <c r="AN30" s="6"/>
      <c r="AO30" s="6"/>
      <c r="AP30" s="47">
        <f t="shared" si="25"/>
        <v>0</v>
      </c>
      <c r="AQ30" s="6"/>
      <c r="AR30" s="48"/>
      <c r="AS30" s="6"/>
      <c r="AT30" s="6">
        <f t="shared" si="26"/>
        <v>0</v>
      </c>
      <c r="AU30" s="6"/>
      <c r="AV30" s="6"/>
      <c r="AW30" s="6"/>
      <c r="AX30" s="47">
        <f t="shared" si="27"/>
        <v>0</v>
      </c>
      <c r="AY30" s="6">
        <f t="shared" si="28"/>
        <v>0</v>
      </c>
      <c r="AZ30" s="6">
        <f t="shared" si="29"/>
        <v>0</v>
      </c>
      <c r="BA30" s="6"/>
      <c r="BB30" s="6"/>
      <c r="BC30" s="6"/>
      <c r="BD30" s="6"/>
      <c r="BE30" s="6"/>
      <c r="BF30" s="6"/>
      <c r="BG30" s="6"/>
      <c r="BH30" s="6"/>
      <c r="BI30" s="6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  <c r="CO30" s="142"/>
      <c r="CP30" s="142"/>
      <c r="CQ30" s="142"/>
      <c r="CR30" s="142"/>
      <c r="CS30" s="142"/>
      <c r="CT30" s="142"/>
      <c r="CU30" s="142"/>
      <c r="CV30" s="142"/>
      <c r="CW30" s="142"/>
      <c r="CX30" s="142"/>
      <c r="CY30" s="142"/>
      <c r="CZ30" s="142"/>
      <c r="DA30" s="142"/>
      <c r="DB30" s="142"/>
      <c r="DC30" s="142"/>
      <c r="DD30" s="142"/>
      <c r="DE30" s="142"/>
      <c r="DF30" s="142"/>
      <c r="DG30" s="142"/>
      <c r="DH30" s="142"/>
      <c r="DI30" s="142"/>
      <c r="DJ30" s="142"/>
      <c r="DK30" s="142"/>
      <c r="DL30" s="142"/>
      <c r="DM30" s="142"/>
      <c r="DN30" s="142"/>
      <c r="DO30" s="142"/>
      <c r="DP30" s="142"/>
      <c r="DQ30" s="142"/>
      <c r="DR30" s="142"/>
      <c r="DS30" s="142"/>
      <c r="DT30" s="142"/>
      <c r="DU30" s="142"/>
      <c r="DV30" s="142"/>
      <c r="DW30" s="142"/>
      <c r="DX30" s="142"/>
      <c r="DY30" s="142"/>
      <c r="DZ30" s="142"/>
      <c r="EA30" s="142"/>
      <c r="EB30" s="142"/>
      <c r="EC30" s="142"/>
      <c r="ED30" s="142"/>
      <c r="EE30" s="142"/>
      <c r="EF30" s="142"/>
      <c r="EG30" s="142"/>
      <c r="EH30" s="142"/>
      <c r="EI30" s="142"/>
      <c r="EJ30" s="142"/>
      <c r="EK30" s="142"/>
      <c r="EL30" s="142"/>
      <c r="EM30" s="142"/>
      <c r="EN30" s="142"/>
      <c r="EO30" s="142"/>
      <c r="EP30" s="142"/>
      <c r="EQ30" s="142"/>
      <c r="ER30" s="142"/>
      <c r="ES30" s="142"/>
      <c r="ET30" s="142"/>
      <c r="EU30" s="142"/>
      <c r="EV30" s="142"/>
      <c r="EW30" s="142"/>
      <c r="EX30" s="142"/>
      <c r="EY30" s="142"/>
      <c r="EZ30" s="142"/>
      <c r="FA30" s="142"/>
      <c r="FB30" s="142"/>
      <c r="FC30" s="142"/>
      <c r="FD30" s="142"/>
      <c r="FE30" s="142"/>
      <c r="FF30" s="142"/>
      <c r="FG30" s="142"/>
      <c r="FH30" s="142"/>
      <c r="FI30" s="142"/>
      <c r="FJ30" s="142"/>
      <c r="FK30" s="142"/>
      <c r="FL30" s="142"/>
      <c r="FM30" s="142"/>
      <c r="FN30" s="142"/>
      <c r="FO30" s="142"/>
      <c r="FP30" s="142"/>
      <c r="FQ30" s="142"/>
      <c r="FR30" s="142"/>
      <c r="FS30" s="142"/>
      <c r="FT30" s="142"/>
      <c r="FU30" s="142"/>
      <c r="FV30" s="142"/>
      <c r="FW30" s="142"/>
      <c r="FX30" s="142"/>
      <c r="FY30" s="142"/>
      <c r="FZ30" s="142"/>
      <c r="GA30" s="142"/>
      <c r="GB30" s="142"/>
      <c r="GC30" s="142"/>
      <c r="GD30" s="142"/>
      <c r="GE30" s="142"/>
      <c r="GF30" s="142"/>
      <c r="GG30" s="142"/>
      <c r="GH30" s="142"/>
      <c r="GI30" s="142"/>
      <c r="GJ30" s="142"/>
      <c r="GK30" s="142"/>
      <c r="GL30" s="142"/>
      <c r="GM30" s="142"/>
    </row>
    <row r="31" spans="1:195" customFormat="1" ht="15" x14ac:dyDescent="0.25">
      <c r="A31" s="17" t="s">
        <v>92</v>
      </c>
      <c r="B31" s="47">
        <f t="shared" si="15"/>
        <v>0</v>
      </c>
      <c r="C31" s="6"/>
      <c r="D31" s="48"/>
      <c r="E31" s="6"/>
      <c r="F31" s="6">
        <f t="shared" si="16"/>
        <v>0</v>
      </c>
      <c r="G31" s="6"/>
      <c r="H31" s="6"/>
      <c r="I31" s="6"/>
      <c r="J31" s="47">
        <f t="shared" si="17"/>
        <v>0</v>
      </c>
      <c r="K31" s="6"/>
      <c r="L31" s="48"/>
      <c r="M31" s="6"/>
      <c r="N31" s="6">
        <f t="shared" si="18"/>
        <v>0</v>
      </c>
      <c r="O31" s="6"/>
      <c r="P31" s="6"/>
      <c r="Q31" s="6"/>
      <c r="R31" s="47">
        <f t="shared" si="19"/>
        <v>0</v>
      </c>
      <c r="S31" s="6"/>
      <c r="T31" s="48"/>
      <c r="U31" s="6"/>
      <c r="V31" s="6">
        <f t="shared" si="20"/>
        <v>0</v>
      </c>
      <c r="W31" s="6"/>
      <c r="X31" s="6"/>
      <c r="Y31" s="6"/>
      <c r="Z31" s="47">
        <f t="shared" si="21"/>
        <v>0</v>
      </c>
      <c r="AA31" s="6"/>
      <c r="AB31" s="48"/>
      <c r="AC31" s="6"/>
      <c r="AD31" s="6">
        <f t="shared" si="22"/>
        <v>0</v>
      </c>
      <c r="AE31" s="6"/>
      <c r="AF31" s="6"/>
      <c r="AG31" s="6"/>
      <c r="AH31" s="47">
        <f t="shared" si="23"/>
        <v>0</v>
      </c>
      <c r="AI31" s="6"/>
      <c r="AJ31" s="48"/>
      <c r="AK31" s="6"/>
      <c r="AL31" s="6">
        <f t="shared" si="24"/>
        <v>0</v>
      </c>
      <c r="AM31" s="6"/>
      <c r="AN31" s="6"/>
      <c r="AO31" s="6"/>
      <c r="AP31" s="47">
        <f t="shared" si="25"/>
        <v>0</v>
      </c>
      <c r="AQ31" s="6"/>
      <c r="AR31" s="48"/>
      <c r="AS31" s="6"/>
      <c r="AT31" s="6">
        <f t="shared" si="26"/>
        <v>0</v>
      </c>
      <c r="AU31" s="6"/>
      <c r="AV31" s="6"/>
      <c r="AW31" s="6"/>
      <c r="AX31" s="47">
        <f t="shared" si="27"/>
        <v>0</v>
      </c>
      <c r="AY31" s="6">
        <f t="shared" si="28"/>
        <v>0</v>
      </c>
      <c r="AZ31" s="6">
        <f t="shared" si="29"/>
        <v>0</v>
      </c>
      <c r="BA31" s="6"/>
      <c r="BB31" s="6"/>
      <c r="BC31" s="6"/>
      <c r="BD31" s="6"/>
      <c r="BE31" s="6"/>
      <c r="BF31" s="6"/>
      <c r="BG31" s="6"/>
      <c r="BH31" s="6"/>
      <c r="BI31" s="6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142"/>
      <c r="CG31" s="142"/>
      <c r="CH31" s="142"/>
      <c r="CI31" s="142"/>
      <c r="CJ31" s="142"/>
      <c r="CK31" s="142"/>
      <c r="CL31" s="142"/>
      <c r="CM31" s="142"/>
      <c r="CN31" s="142"/>
      <c r="CO31" s="142"/>
      <c r="CP31" s="142"/>
      <c r="CQ31" s="142"/>
      <c r="CR31" s="142"/>
      <c r="CS31" s="142"/>
      <c r="CT31" s="142"/>
      <c r="CU31" s="142"/>
      <c r="CV31" s="142"/>
      <c r="CW31" s="142"/>
      <c r="CX31" s="142"/>
      <c r="CY31" s="142"/>
      <c r="CZ31" s="142"/>
      <c r="DA31" s="142"/>
      <c r="DB31" s="142"/>
      <c r="DC31" s="142"/>
      <c r="DD31" s="142"/>
      <c r="DE31" s="142"/>
      <c r="DF31" s="142"/>
      <c r="DG31" s="142"/>
      <c r="DH31" s="142"/>
      <c r="DI31" s="142"/>
      <c r="DJ31" s="142"/>
      <c r="DK31" s="142"/>
      <c r="DL31" s="142"/>
      <c r="DM31" s="142"/>
      <c r="DN31" s="142"/>
      <c r="DO31" s="142"/>
      <c r="DP31" s="142"/>
      <c r="DQ31" s="142"/>
      <c r="DR31" s="142"/>
      <c r="DS31" s="142"/>
      <c r="DT31" s="142"/>
      <c r="DU31" s="142"/>
      <c r="DV31" s="142"/>
      <c r="DW31" s="142"/>
      <c r="DX31" s="142"/>
      <c r="DY31" s="142"/>
      <c r="DZ31" s="142"/>
      <c r="EA31" s="142"/>
      <c r="EB31" s="142"/>
      <c r="EC31" s="142"/>
      <c r="ED31" s="142"/>
      <c r="EE31" s="142"/>
      <c r="EF31" s="142"/>
      <c r="EG31" s="142"/>
      <c r="EH31" s="142"/>
      <c r="EI31" s="142"/>
      <c r="EJ31" s="142"/>
      <c r="EK31" s="142"/>
      <c r="EL31" s="142"/>
      <c r="EM31" s="142"/>
      <c r="EN31" s="142"/>
      <c r="EO31" s="142"/>
      <c r="EP31" s="142"/>
      <c r="EQ31" s="142"/>
      <c r="ER31" s="142"/>
      <c r="ES31" s="142"/>
      <c r="ET31" s="142"/>
      <c r="EU31" s="142"/>
      <c r="EV31" s="142"/>
      <c r="EW31" s="142"/>
      <c r="EX31" s="142"/>
      <c r="EY31" s="142"/>
      <c r="EZ31" s="142"/>
      <c r="FA31" s="142"/>
      <c r="FB31" s="142"/>
      <c r="FC31" s="142"/>
      <c r="FD31" s="142"/>
      <c r="FE31" s="142"/>
      <c r="FF31" s="142"/>
      <c r="FG31" s="142"/>
      <c r="FH31" s="142"/>
      <c r="FI31" s="142"/>
      <c r="FJ31" s="142"/>
      <c r="FK31" s="142"/>
      <c r="FL31" s="142"/>
      <c r="FM31" s="142"/>
      <c r="FN31" s="142"/>
      <c r="FO31" s="142"/>
      <c r="FP31" s="142"/>
      <c r="FQ31" s="142"/>
      <c r="FR31" s="142"/>
      <c r="FS31" s="142"/>
      <c r="FT31" s="142"/>
      <c r="FU31" s="142"/>
      <c r="FV31" s="142"/>
      <c r="FW31" s="142"/>
      <c r="FX31" s="142"/>
      <c r="FY31" s="142"/>
      <c r="FZ31" s="142"/>
      <c r="GA31" s="142"/>
      <c r="GB31" s="142"/>
      <c r="GC31" s="142"/>
      <c r="GD31" s="142"/>
      <c r="GE31" s="142"/>
      <c r="GF31" s="142"/>
      <c r="GG31" s="142"/>
      <c r="GH31" s="142"/>
      <c r="GI31" s="142"/>
      <c r="GJ31" s="142"/>
      <c r="GK31" s="142"/>
      <c r="GL31" s="142"/>
      <c r="GM31" s="142"/>
    </row>
    <row r="32" spans="1:195" customFormat="1" ht="15" x14ac:dyDescent="0.25">
      <c r="A32" s="17" t="s">
        <v>81</v>
      </c>
      <c r="B32" s="47">
        <f t="shared" si="15"/>
        <v>0</v>
      </c>
      <c r="C32" s="6"/>
      <c r="D32" s="48"/>
      <c r="E32" s="6"/>
      <c r="F32" s="6">
        <f t="shared" si="16"/>
        <v>0</v>
      </c>
      <c r="G32" s="6"/>
      <c r="H32" s="6"/>
      <c r="I32" s="6"/>
      <c r="J32" s="47">
        <f t="shared" si="17"/>
        <v>0</v>
      </c>
      <c r="K32" s="6"/>
      <c r="L32" s="48"/>
      <c r="M32" s="6"/>
      <c r="N32" s="6">
        <f t="shared" si="18"/>
        <v>0</v>
      </c>
      <c r="O32" s="6"/>
      <c r="P32" s="6"/>
      <c r="Q32" s="6"/>
      <c r="R32" s="47">
        <f t="shared" si="19"/>
        <v>0</v>
      </c>
      <c r="S32" s="6"/>
      <c r="T32" s="48"/>
      <c r="U32" s="6"/>
      <c r="V32" s="6">
        <f t="shared" si="20"/>
        <v>0</v>
      </c>
      <c r="W32" s="6"/>
      <c r="X32" s="6"/>
      <c r="Y32" s="6"/>
      <c r="Z32" s="47">
        <f t="shared" si="21"/>
        <v>0</v>
      </c>
      <c r="AA32" s="6"/>
      <c r="AB32" s="48"/>
      <c r="AC32" s="6"/>
      <c r="AD32" s="6">
        <f t="shared" si="22"/>
        <v>0</v>
      </c>
      <c r="AE32" s="6"/>
      <c r="AF32" s="6"/>
      <c r="AG32" s="6"/>
      <c r="AH32" s="47">
        <f t="shared" si="23"/>
        <v>0</v>
      </c>
      <c r="AI32" s="6"/>
      <c r="AJ32" s="48"/>
      <c r="AK32" s="6"/>
      <c r="AL32" s="6">
        <f t="shared" si="24"/>
        <v>0</v>
      </c>
      <c r="AM32" s="6"/>
      <c r="AN32" s="6"/>
      <c r="AO32" s="6"/>
      <c r="AP32" s="47">
        <f t="shared" si="25"/>
        <v>0</v>
      </c>
      <c r="AQ32" s="6"/>
      <c r="AR32" s="48"/>
      <c r="AS32" s="6"/>
      <c r="AT32" s="6">
        <f t="shared" si="26"/>
        <v>0</v>
      </c>
      <c r="AU32" s="6"/>
      <c r="AV32" s="6"/>
      <c r="AW32" s="6"/>
      <c r="AX32" s="47">
        <f t="shared" si="27"/>
        <v>0</v>
      </c>
      <c r="AY32" s="6">
        <f t="shared" si="28"/>
        <v>0</v>
      </c>
      <c r="AZ32" s="6">
        <f t="shared" si="29"/>
        <v>0</v>
      </c>
      <c r="BA32" s="6"/>
      <c r="BB32" s="6"/>
      <c r="BC32" s="6"/>
      <c r="BD32" s="6"/>
      <c r="BE32" s="6"/>
      <c r="BF32" s="6"/>
      <c r="BG32" s="6"/>
      <c r="BH32" s="6"/>
      <c r="BI32" s="6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2"/>
      <c r="DL32" s="142"/>
      <c r="DM32" s="142"/>
      <c r="DN32" s="142"/>
      <c r="DO32" s="142"/>
      <c r="DP32" s="142"/>
      <c r="DQ32" s="142"/>
      <c r="DR32" s="142"/>
      <c r="DS32" s="142"/>
      <c r="DT32" s="142"/>
      <c r="DU32" s="142"/>
      <c r="DV32" s="142"/>
      <c r="DW32" s="142"/>
      <c r="DX32" s="142"/>
      <c r="DY32" s="142"/>
      <c r="DZ32" s="142"/>
      <c r="EA32" s="142"/>
      <c r="EB32" s="142"/>
      <c r="EC32" s="142"/>
      <c r="ED32" s="142"/>
      <c r="EE32" s="142"/>
      <c r="EF32" s="142"/>
      <c r="EG32" s="142"/>
      <c r="EH32" s="142"/>
      <c r="EI32" s="142"/>
      <c r="EJ32" s="142"/>
      <c r="EK32" s="142"/>
      <c r="EL32" s="142"/>
      <c r="EM32" s="142"/>
      <c r="EN32" s="142"/>
      <c r="EO32" s="142"/>
      <c r="EP32" s="142"/>
      <c r="EQ32" s="142"/>
      <c r="ER32" s="142"/>
      <c r="ES32" s="142"/>
      <c r="ET32" s="142"/>
      <c r="EU32" s="142"/>
      <c r="EV32" s="142"/>
      <c r="EW32" s="142"/>
      <c r="EX32" s="142"/>
      <c r="EY32" s="142"/>
      <c r="EZ32" s="142"/>
      <c r="FA32" s="142"/>
      <c r="FB32" s="142"/>
      <c r="FC32" s="142"/>
      <c r="FD32" s="142"/>
      <c r="FE32" s="142"/>
      <c r="FF32" s="142"/>
      <c r="FG32" s="142"/>
      <c r="FH32" s="142"/>
      <c r="FI32" s="142"/>
      <c r="FJ32" s="142"/>
      <c r="FK32" s="142"/>
      <c r="FL32" s="142"/>
      <c r="FM32" s="142"/>
      <c r="FN32" s="142"/>
      <c r="FO32" s="142"/>
      <c r="FP32" s="142"/>
      <c r="FQ32" s="142"/>
      <c r="FR32" s="142"/>
      <c r="FS32" s="142"/>
      <c r="FT32" s="142"/>
      <c r="FU32" s="142"/>
      <c r="FV32" s="142"/>
      <c r="FW32" s="142"/>
      <c r="FX32" s="142"/>
      <c r="FY32" s="142"/>
      <c r="FZ32" s="142"/>
      <c r="GA32" s="142"/>
      <c r="GB32" s="142"/>
      <c r="GC32" s="142"/>
      <c r="GD32" s="142"/>
      <c r="GE32" s="142"/>
      <c r="GF32" s="142"/>
      <c r="GG32" s="142"/>
      <c r="GH32" s="142"/>
      <c r="GI32" s="142"/>
      <c r="GJ32" s="142"/>
      <c r="GK32" s="142"/>
      <c r="GL32" s="142"/>
      <c r="GM32" s="142"/>
    </row>
    <row r="33" spans="1:195" customFormat="1" ht="15" x14ac:dyDescent="0.25">
      <c r="A33" s="17" t="s">
        <v>82</v>
      </c>
      <c r="B33" s="47">
        <f t="shared" si="15"/>
        <v>0</v>
      </c>
      <c r="C33" s="6"/>
      <c r="D33" s="48"/>
      <c r="E33" s="6"/>
      <c r="F33" s="6">
        <f t="shared" si="16"/>
        <v>0</v>
      </c>
      <c r="G33" s="6"/>
      <c r="H33" s="6"/>
      <c r="I33" s="6"/>
      <c r="J33" s="47">
        <f t="shared" si="17"/>
        <v>0</v>
      </c>
      <c r="K33" s="6"/>
      <c r="L33" s="48"/>
      <c r="M33" s="6"/>
      <c r="N33" s="6">
        <f t="shared" si="18"/>
        <v>0</v>
      </c>
      <c r="O33" s="6"/>
      <c r="P33" s="6"/>
      <c r="Q33" s="6"/>
      <c r="R33" s="47">
        <f t="shared" si="19"/>
        <v>0</v>
      </c>
      <c r="S33" s="6"/>
      <c r="T33" s="48"/>
      <c r="U33" s="6"/>
      <c r="V33" s="6">
        <f t="shared" si="20"/>
        <v>0</v>
      </c>
      <c r="W33" s="6"/>
      <c r="X33" s="6"/>
      <c r="Y33" s="6"/>
      <c r="Z33" s="47">
        <f t="shared" si="21"/>
        <v>0</v>
      </c>
      <c r="AA33" s="6"/>
      <c r="AB33" s="48"/>
      <c r="AC33" s="6"/>
      <c r="AD33" s="6">
        <f t="shared" si="22"/>
        <v>0</v>
      </c>
      <c r="AE33" s="6"/>
      <c r="AF33" s="6"/>
      <c r="AG33" s="6"/>
      <c r="AH33" s="47">
        <f t="shared" si="23"/>
        <v>0</v>
      </c>
      <c r="AI33" s="6"/>
      <c r="AJ33" s="48"/>
      <c r="AK33" s="6"/>
      <c r="AL33" s="6">
        <f t="shared" si="24"/>
        <v>0</v>
      </c>
      <c r="AM33" s="6"/>
      <c r="AN33" s="6"/>
      <c r="AO33" s="6"/>
      <c r="AP33" s="47">
        <f t="shared" si="25"/>
        <v>0</v>
      </c>
      <c r="AQ33" s="6"/>
      <c r="AR33" s="48"/>
      <c r="AS33" s="6"/>
      <c r="AT33" s="6">
        <f t="shared" si="26"/>
        <v>0</v>
      </c>
      <c r="AU33" s="6"/>
      <c r="AV33" s="6"/>
      <c r="AW33" s="6"/>
      <c r="AX33" s="47">
        <f t="shared" si="27"/>
        <v>0</v>
      </c>
      <c r="AY33" s="6">
        <f t="shared" si="28"/>
        <v>0</v>
      </c>
      <c r="AZ33" s="6">
        <f t="shared" si="29"/>
        <v>0</v>
      </c>
      <c r="BA33" s="6"/>
      <c r="BB33" s="6"/>
      <c r="BC33" s="6"/>
      <c r="BD33" s="6"/>
      <c r="BE33" s="6"/>
      <c r="BF33" s="6"/>
      <c r="BG33" s="6"/>
      <c r="BH33" s="6"/>
      <c r="BI33" s="6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142"/>
      <c r="CG33" s="142"/>
      <c r="CH33" s="142"/>
      <c r="CI33" s="142"/>
      <c r="CJ33" s="142"/>
      <c r="CK33" s="142"/>
      <c r="CL33" s="142"/>
      <c r="CM33" s="142"/>
      <c r="CN33" s="142"/>
      <c r="CO33" s="142"/>
      <c r="CP33" s="142"/>
      <c r="CQ33" s="142"/>
      <c r="CR33" s="142"/>
      <c r="CS33" s="142"/>
      <c r="CT33" s="142"/>
      <c r="CU33" s="142"/>
      <c r="CV33" s="142"/>
      <c r="CW33" s="142"/>
      <c r="CX33" s="142"/>
      <c r="CY33" s="142"/>
      <c r="CZ33" s="142"/>
      <c r="DA33" s="142"/>
      <c r="DB33" s="142"/>
      <c r="DC33" s="142"/>
      <c r="DD33" s="142"/>
      <c r="DE33" s="142"/>
      <c r="DF33" s="142"/>
      <c r="DG33" s="142"/>
      <c r="DH33" s="142"/>
      <c r="DI33" s="142"/>
      <c r="DJ33" s="142"/>
      <c r="DK33" s="142"/>
      <c r="DL33" s="142"/>
      <c r="DM33" s="142"/>
      <c r="DN33" s="142"/>
      <c r="DO33" s="142"/>
      <c r="DP33" s="142"/>
      <c r="DQ33" s="142"/>
      <c r="DR33" s="142"/>
      <c r="DS33" s="142"/>
      <c r="DT33" s="142"/>
      <c r="DU33" s="142"/>
      <c r="DV33" s="142"/>
      <c r="DW33" s="142"/>
      <c r="DX33" s="142"/>
      <c r="DY33" s="142"/>
      <c r="DZ33" s="142"/>
      <c r="EA33" s="142"/>
      <c r="EB33" s="142"/>
      <c r="EC33" s="142"/>
      <c r="ED33" s="142"/>
      <c r="EE33" s="142"/>
      <c r="EF33" s="142"/>
      <c r="EG33" s="142"/>
      <c r="EH33" s="142"/>
      <c r="EI33" s="142"/>
      <c r="EJ33" s="142"/>
      <c r="EK33" s="142"/>
      <c r="EL33" s="142"/>
      <c r="EM33" s="142"/>
      <c r="EN33" s="142"/>
      <c r="EO33" s="142"/>
      <c r="EP33" s="142"/>
      <c r="EQ33" s="142"/>
      <c r="ER33" s="142"/>
      <c r="ES33" s="142"/>
      <c r="ET33" s="142"/>
      <c r="EU33" s="142"/>
      <c r="EV33" s="142"/>
      <c r="EW33" s="142"/>
      <c r="EX33" s="142"/>
      <c r="EY33" s="142"/>
      <c r="EZ33" s="142"/>
      <c r="FA33" s="142"/>
      <c r="FB33" s="142"/>
      <c r="FC33" s="142"/>
      <c r="FD33" s="142"/>
      <c r="FE33" s="142"/>
      <c r="FF33" s="142"/>
      <c r="FG33" s="142"/>
      <c r="FH33" s="142"/>
      <c r="FI33" s="142"/>
      <c r="FJ33" s="142"/>
      <c r="FK33" s="142"/>
      <c r="FL33" s="142"/>
      <c r="FM33" s="142"/>
      <c r="FN33" s="142"/>
      <c r="FO33" s="142"/>
      <c r="FP33" s="142"/>
      <c r="FQ33" s="142"/>
      <c r="FR33" s="142"/>
      <c r="FS33" s="142"/>
      <c r="FT33" s="142"/>
      <c r="FU33" s="142"/>
      <c r="FV33" s="142"/>
      <c r="FW33" s="142"/>
      <c r="FX33" s="142"/>
      <c r="FY33" s="142"/>
      <c r="FZ33" s="142"/>
      <c r="GA33" s="142"/>
      <c r="GB33" s="142"/>
      <c r="GC33" s="142"/>
      <c r="GD33" s="142"/>
      <c r="GE33" s="142"/>
      <c r="GF33" s="142"/>
      <c r="GG33" s="142"/>
      <c r="GH33" s="142"/>
      <c r="GI33" s="142"/>
      <c r="GJ33" s="142"/>
      <c r="GK33" s="142"/>
      <c r="GL33" s="142"/>
      <c r="GM33" s="142"/>
    </row>
    <row r="34" spans="1:195" customFormat="1" ht="15" x14ac:dyDescent="0.25">
      <c r="A34" s="17" t="s">
        <v>93</v>
      </c>
      <c r="B34" s="47">
        <f t="shared" si="15"/>
        <v>0</v>
      </c>
      <c r="C34" s="6"/>
      <c r="D34" s="48"/>
      <c r="E34" s="6"/>
      <c r="F34" s="6">
        <f t="shared" si="16"/>
        <v>0</v>
      </c>
      <c r="G34" s="6"/>
      <c r="H34" s="6"/>
      <c r="I34" s="6"/>
      <c r="J34" s="47">
        <f t="shared" si="17"/>
        <v>0</v>
      </c>
      <c r="K34" s="6"/>
      <c r="L34" s="48"/>
      <c r="M34" s="6"/>
      <c r="N34" s="6">
        <f t="shared" si="18"/>
        <v>0</v>
      </c>
      <c r="O34" s="6"/>
      <c r="P34" s="6"/>
      <c r="Q34" s="6"/>
      <c r="R34" s="47">
        <f t="shared" si="19"/>
        <v>0</v>
      </c>
      <c r="S34" s="6"/>
      <c r="T34" s="48"/>
      <c r="U34" s="6"/>
      <c r="V34" s="6">
        <f t="shared" si="20"/>
        <v>0</v>
      </c>
      <c r="W34" s="6"/>
      <c r="X34" s="6"/>
      <c r="Y34" s="6"/>
      <c r="Z34" s="47">
        <f t="shared" si="21"/>
        <v>0</v>
      </c>
      <c r="AA34" s="6"/>
      <c r="AB34" s="48"/>
      <c r="AC34" s="6"/>
      <c r="AD34" s="6">
        <f t="shared" si="22"/>
        <v>0</v>
      </c>
      <c r="AE34" s="6"/>
      <c r="AF34" s="6"/>
      <c r="AG34" s="6"/>
      <c r="AH34" s="47">
        <f t="shared" si="23"/>
        <v>0</v>
      </c>
      <c r="AI34" s="6"/>
      <c r="AJ34" s="48"/>
      <c r="AK34" s="6"/>
      <c r="AL34" s="6">
        <f t="shared" si="24"/>
        <v>0</v>
      </c>
      <c r="AM34" s="6"/>
      <c r="AN34" s="6"/>
      <c r="AO34" s="6"/>
      <c r="AP34" s="47">
        <f t="shared" si="25"/>
        <v>0</v>
      </c>
      <c r="AQ34" s="6"/>
      <c r="AR34" s="48"/>
      <c r="AS34" s="6"/>
      <c r="AT34" s="6">
        <f t="shared" si="26"/>
        <v>0</v>
      </c>
      <c r="AU34" s="6"/>
      <c r="AV34" s="6"/>
      <c r="AW34" s="6"/>
      <c r="AX34" s="47">
        <f t="shared" si="27"/>
        <v>0</v>
      </c>
      <c r="AY34" s="6">
        <f t="shared" si="28"/>
        <v>0</v>
      </c>
      <c r="AZ34" s="6">
        <f t="shared" si="29"/>
        <v>0</v>
      </c>
      <c r="BA34" s="6"/>
      <c r="BB34" s="6"/>
      <c r="BC34" s="6"/>
      <c r="BD34" s="6"/>
      <c r="BE34" s="6"/>
      <c r="BF34" s="6"/>
      <c r="BG34" s="6"/>
      <c r="BH34" s="6"/>
      <c r="BI34" s="6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  <c r="CD34" s="142"/>
      <c r="CE34" s="142"/>
      <c r="CF34" s="142"/>
      <c r="CG34" s="142"/>
      <c r="CH34" s="142"/>
      <c r="CI34" s="142"/>
      <c r="CJ34" s="142"/>
      <c r="CK34" s="142"/>
      <c r="CL34" s="142"/>
      <c r="CM34" s="142"/>
      <c r="CN34" s="142"/>
      <c r="CO34" s="142"/>
      <c r="CP34" s="142"/>
      <c r="CQ34" s="142"/>
      <c r="CR34" s="142"/>
      <c r="CS34" s="142"/>
      <c r="CT34" s="142"/>
      <c r="CU34" s="142"/>
      <c r="CV34" s="142"/>
      <c r="CW34" s="142"/>
      <c r="CX34" s="142"/>
      <c r="CY34" s="142"/>
      <c r="CZ34" s="142"/>
      <c r="DA34" s="142"/>
      <c r="DB34" s="142"/>
      <c r="DC34" s="142"/>
      <c r="DD34" s="142"/>
      <c r="DE34" s="142"/>
      <c r="DF34" s="142"/>
      <c r="DG34" s="142"/>
      <c r="DH34" s="142"/>
      <c r="DI34" s="142"/>
      <c r="DJ34" s="142"/>
      <c r="DK34" s="142"/>
      <c r="DL34" s="142"/>
      <c r="DM34" s="142"/>
      <c r="DN34" s="142"/>
      <c r="DO34" s="142"/>
      <c r="DP34" s="142"/>
      <c r="DQ34" s="142"/>
      <c r="DR34" s="142"/>
      <c r="DS34" s="142"/>
      <c r="DT34" s="142"/>
      <c r="DU34" s="142"/>
      <c r="DV34" s="142"/>
      <c r="DW34" s="142"/>
      <c r="DX34" s="142"/>
      <c r="DY34" s="142"/>
      <c r="DZ34" s="142"/>
      <c r="EA34" s="142"/>
      <c r="EB34" s="142"/>
      <c r="EC34" s="142"/>
      <c r="ED34" s="142"/>
      <c r="EE34" s="142"/>
      <c r="EF34" s="142"/>
      <c r="EG34" s="142"/>
      <c r="EH34" s="142"/>
      <c r="EI34" s="142"/>
      <c r="EJ34" s="142"/>
      <c r="EK34" s="142"/>
      <c r="EL34" s="142"/>
      <c r="EM34" s="142"/>
      <c r="EN34" s="142"/>
      <c r="EO34" s="142"/>
      <c r="EP34" s="142"/>
      <c r="EQ34" s="142"/>
      <c r="ER34" s="142"/>
      <c r="ES34" s="142"/>
      <c r="ET34" s="142"/>
      <c r="EU34" s="142"/>
      <c r="EV34" s="142"/>
      <c r="EW34" s="142"/>
      <c r="EX34" s="142"/>
      <c r="EY34" s="142"/>
      <c r="EZ34" s="142"/>
      <c r="FA34" s="142"/>
      <c r="FB34" s="142"/>
      <c r="FC34" s="142"/>
      <c r="FD34" s="142"/>
      <c r="FE34" s="142"/>
      <c r="FF34" s="142"/>
      <c r="FG34" s="142"/>
      <c r="FH34" s="142"/>
      <c r="FI34" s="142"/>
      <c r="FJ34" s="142"/>
      <c r="FK34" s="142"/>
      <c r="FL34" s="142"/>
      <c r="FM34" s="142"/>
      <c r="FN34" s="142"/>
      <c r="FO34" s="142"/>
      <c r="FP34" s="142"/>
      <c r="FQ34" s="142"/>
      <c r="FR34" s="142"/>
      <c r="FS34" s="142"/>
      <c r="FT34" s="142"/>
      <c r="FU34" s="142"/>
      <c r="FV34" s="142"/>
      <c r="FW34" s="142"/>
      <c r="FX34" s="142"/>
      <c r="FY34" s="142"/>
      <c r="FZ34" s="142"/>
      <c r="GA34" s="142"/>
      <c r="GB34" s="142"/>
      <c r="GC34" s="142"/>
      <c r="GD34" s="142"/>
      <c r="GE34" s="142"/>
      <c r="GF34" s="142"/>
      <c r="GG34" s="142"/>
      <c r="GH34" s="142"/>
      <c r="GI34" s="142"/>
      <c r="GJ34" s="142"/>
      <c r="GK34" s="142"/>
      <c r="GL34" s="142"/>
      <c r="GM34" s="142"/>
    </row>
    <row r="35" spans="1:195" customFormat="1" ht="15" x14ac:dyDescent="0.25">
      <c r="A35" s="17" t="s">
        <v>81</v>
      </c>
      <c r="B35" s="47">
        <f t="shared" si="15"/>
        <v>0</v>
      </c>
      <c r="C35" s="6"/>
      <c r="D35" s="48"/>
      <c r="E35" s="6"/>
      <c r="F35" s="6">
        <f t="shared" si="16"/>
        <v>0</v>
      </c>
      <c r="G35" s="6"/>
      <c r="H35" s="6"/>
      <c r="I35" s="6"/>
      <c r="J35" s="47">
        <f t="shared" si="17"/>
        <v>0</v>
      </c>
      <c r="K35" s="6"/>
      <c r="L35" s="48"/>
      <c r="M35" s="6"/>
      <c r="N35" s="6">
        <f t="shared" si="18"/>
        <v>0</v>
      </c>
      <c r="O35" s="6"/>
      <c r="P35" s="6"/>
      <c r="Q35" s="6"/>
      <c r="R35" s="47">
        <f t="shared" si="19"/>
        <v>0</v>
      </c>
      <c r="S35" s="6"/>
      <c r="T35" s="48"/>
      <c r="U35" s="6"/>
      <c r="V35" s="6">
        <f t="shared" si="20"/>
        <v>0</v>
      </c>
      <c r="W35" s="6"/>
      <c r="X35" s="6"/>
      <c r="Y35" s="6"/>
      <c r="Z35" s="47">
        <f t="shared" si="21"/>
        <v>0</v>
      </c>
      <c r="AA35" s="6"/>
      <c r="AB35" s="48"/>
      <c r="AC35" s="6"/>
      <c r="AD35" s="6">
        <f t="shared" si="22"/>
        <v>0</v>
      </c>
      <c r="AE35" s="6"/>
      <c r="AF35" s="6"/>
      <c r="AG35" s="6"/>
      <c r="AH35" s="47">
        <f t="shared" si="23"/>
        <v>0</v>
      </c>
      <c r="AI35" s="6"/>
      <c r="AJ35" s="48"/>
      <c r="AK35" s="6"/>
      <c r="AL35" s="6">
        <f t="shared" si="24"/>
        <v>0</v>
      </c>
      <c r="AM35" s="6"/>
      <c r="AN35" s="6"/>
      <c r="AO35" s="6"/>
      <c r="AP35" s="47">
        <f t="shared" si="25"/>
        <v>0</v>
      </c>
      <c r="AQ35" s="6"/>
      <c r="AR35" s="48"/>
      <c r="AS35" s="6"/>
      <c r="AT35" s="6">
        <f t="shared" si="26"/>
        <v>0</v>
      </c>
      <c r="AU35" s="6"/>
      <c r="AV35" s="6"/>
      <c r="AW35" s="6"/>
      <c r="AX35" s="47">
        <f t="shared" si="27"/>
        <v>0</v>
      </c>
      <c r="AY35" s="6">
        <f t="shared" si="28"/>
        <v>0</v>
      </c>
      <c r="AZ35" s="6">
        <f t="shared" si="29"/>
        <v>0</v>
      </c>
      <c r="BA35" s="6"/>
      <c r="BB35" s="6"/>
      <c r="BC35" s="6"/>
      <c r="BD35" s="6"/>
      <c r="BE35" s="6"/>
      <c r="BF35" s="6"/>
      <c r="BG35" s="6"/>
      <c r="BH35" s="6"/>
      <c r="BI35" s="6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  <c r="CP35" s="142"/>
      <c r="CQ35" s="142"/>
      <c r="CR35" s="142"/>
      <c r="CS35" s="142"/>
      <c r="CT35" s="142"/>
      <c r="CU35" s="142"/>
      <c r="CV35" s="142"/>
      <c r="CW35" s="142"/>
      <c r="CX35" s="142"/>
      <c r="CY35" s="142"/>
      <c r="CZ35" s="142"/>
      <c r="DA35" s="142"/>
      <c r="DB35" s="142"/>
      <c r="DC35" s="142"/>
      <c r="DD35" s="142"/>
      <c r="DE35" s="142"/>
      <c r="DF35" s="142"/>
      <c r="DG35" s="142"/>
      <c r="DH35" s="142"/>
      <c r="DI35" s="142"/>
      <c r="DJ35" s="142"/>
      <c r="DK35" s="142"/>
      <c r="DL35" s="142"/>
      <c r="DM35" s="142"/>
      <c r="DN35" s="142"/>
      <c r="DO35" s="142"/>
      <c r="DP35" s="142"/>
      <c r="DQ35" s="142"/>
      <c r="DR35" s="142"/>
      <c r="DS35" s="142"/>
      <c r="DT35" s="142"/>
      <c r="DU35" s="142"/>
      <c r="DV35" s="142"/>
      <c r="DW35" s="142"/>
      <c r="DX35" s="142"/>
      <c r="DY35" s="142"/>
      <c r="DZ35" s="142"/>
      <c r="EA35" s="142"/>
      <c r="EB35" s="142"/>
      <c r="EC35" s="142"/>
      <c r="ED35" s="142"/>
      <c r="EE35" s="142"/>
      <c r="EF35" s="142"/>
      <c r="EG35" s="142"/>
      <c r="EH35" s="142"/>
      <c r="EI35" s="142"/>
      <c r="EJ35" s="142"/>
      <c r="EK35" s="142"/>
      <c r="EL35" s="142"/>
      <c r="EM35" s="142"/>
      <c r="EN35" s="142"/>
      <c r="EO35" s="142"/>
      <c r="EP35" s="142"/>
      <c r="EQ35" s="142"/>
      <c r="ER35" s="142"/>
      <c r="ES35" s="142"/>
      <c r="ET35" s="142"/>
      <c r="EU35" s="142"/>
      <c r="EV35" s="142"/>
      <c r="EW35" s="142"/>
      <c r="EX35" s="142"/>
      <c r="EY35" s="142"/>
      <c r="EZ35" s="142"/>
      <c r="FA35" s="142"/>
      <c r="FB35" s="142"/>
      <c r="FC35" s="142"/>
      <c r="FD35" s="142"/>
      <c r="FE35" s="142"/>
      <c r="FF35" s="142"/>
      <c r="FG35" s="142"/>
      <c r="FH35" s="142"/>
      <c r="FI35" s="142"/>
      <c r="FJ35" s="142"/>
      <c r="FK35" s="142"/>
      <c r="FL35" s="142"/>
      <c r="FM35" s="142"/>
      <c r="FN35" s="142"/>
      <c r="FO35" s="142"/>
      <c r="FP35" s="142"/>
      <c r="FQ35" s="142"/>
      <c r="FR35" s="142"/>
      <c r="FS35" s="142"/>
      <c r="FT35" s="142"/>
      <c r="FU35" s="142"/>
      <c r="FV35" s="142"/>
      <c r="FW35" s="142"/>
      <c r="FX35" s="142"/>
      <c r="FY35" s="142"/>
      <c r="FZ35" s="142"/>
      <c r="GA35" s="142"/>
      <c r="GB35" s="142"/>
      <c r="GC35" s="142"/>
      <c r="GD35" s="142"/>
      <c r="GE35" s="142"/>
      <c r="GF35" s="142"/>
      <c r="GG35" s="142"/>
      <c r="GH35" s="142"/>
      <c r="GI35" s="142"/>
      <c r="GJ35" s="142"/>
      <c r="GK35" s="142"/>
      <c r="GL35" s="142"/>
      <c r="GM35" s="142"/>
    </row>
    <row r="36" spans="1:195" customFormat="1" ht="15" x14ac:dyDescent="0.25">
      <c r="A36" s="17" t="s">
        <v>82</v>
      </c>
      <c r="B36" s="47">
        <f t="shared" si="15"/>
        <v>0</v>
      </c>
      <c r="C36" s="6"/>
      <c r="D36" s="48"/>
      <c r="E36" s="6"/>
      <c r="F36" s="6">
        <f t="shared" si="16"/>
        <v>0</v>
      </c>
      <c r="G36" s="6"/>
      <c r="H36" s="6"/>
      <c r="I36" s="6"/>
      <c r="J36" s="47">
        <f t="shared" si="17"/>
        <v>0</v>
      </c>
      <c r="K36" s="6"/>
      <c r="L36" s="48"/>
      <c r="M36" s="6"/>
      <c r="N36" s="6">
        <f t="shared" si="18"/>
        <v>0</v>
      </c>
      <c r="O36" s="6"/>
      <c r="P36" s="6"/>
      <c r="Q36" s="6"/>
      <c r="R36" s="47">
        <f t="shared" si="19"/>
        <v>0</v>
      </c>
      <c r="S36" s="6"/>
      <c r="T36" s="48"/>
      <c r="U36" s="6"/>
      <c r="V36" s="6">
        <f t="shared" si="20"/>
        <v>0</v>
      </c>
      <c r="W36" s="6"/>
      <c r="X36" s="6"/>
      <c r="Y36" s="6"/>
      <c r="Z36" s="47">
        <f t="shared" si="21"/>
        <v>0</v>
      </c>
      <c r="AA36" s="6"/>
      <c r="AB36" s="48"/>
      <c r="AC36" s="6"/>
      <c r="AD36" s="6">
        <f t="shared" si="22"/>
        <v>0</v>
      </c>
      <c r="AE36" s="6"/>
      <c r="AF36" s="6"/>
      <c r="AG36" s="6"/>
      <c r="AH36" s="47">
        <f t="shared" si="23"/>
        <v>0</v>
      </c>
      <c r="AI36" s="6"/>
      <c r="AJ36" s="48"/>
      <c r="AK36" s="6"/>
      <c r="AL36" s="6">
        <f t="shared" si="24"/>
        <v>0</v>
      </c>
      <c r="AM36" s="6"/>
      <c r="AN36" s="6"/>
      <c r="AO36" s="6"/>
      <c r="AP36" s="47">
        <f t="shared" si="25"/>
        <v>0</v>
      </c>
      <c r="AQ36" s="6"/>
      <c r="AR36" s="48"/>
      <c r="AS36" s="6"/>
      <c r="AT36" s="6">
        <f t="shared" si="26"/>
        <v>0</v>
      </c>
      <c r="AU36" s="6"/>
      <c r="AV36" s="6"/>
      <c r="AW36" s="6"/>
      <c r="AX36" s="47">
        <f t="shared" si="27"/>
        <v>0</v>
      </c>
      <c r="AY36" s="6">
        <f t="shared" si="28"/>
        <v>0</v>
      </c>
      <c r="AZ36" s="6">
        <f t="shared" si="29"/>
        <v>0</v>
      </c>
      <c r="BA36" s="6"/>
      <c r="BB36" s="6"/>
      <c r="BC36" s="6"/>
      <c r="BD36" s="6"/>
      <c r="BE36" s="6"/>
      <c r="BF36" s="6"/>
      <c r="BG36" s="6"/>
      <c r="BH36" s="6"/>
      <c r="BI36" s="6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2"/>
      <c r="CD36" s="142"/>
      <c r="CE36" s="142"/>
      <c r="CF36" s="142"/>
      <c r="CG36" s="142"/>
      <c r="CH36" s="142"/>
      <c r="CI36" s="142"/>
      <c r="CJ36" s="142"/>
      <c r="CK36" s="142"/>
      <c r="CL36" s="142"/>
      <c r="CM36" s="142"/>
      <c r="CN36" s="142"/>
      <c r="CO36" s="142"/>
      <c r="CP36" s="142"/>
      <c r="CQ36" s="142"/>
      <c r="CR36" s="142"/>
      <c r="CS36" s="142"/>
      <c r="CT36" s="142"/>
      <c r="CU36" s="142"/>
      <c r="CV36" s="142"/>
      <c r="CW36" s="142"/>
      <c r="CX36" s="142"/>
      <c r="CY36" s="142"/>
      <c r="CZ36" s="142"/>
      <c r="DA36" s="142"/>
      <c r="DB36" s="142"/>
      <c r="DC36" s="142"/>
      <c r="DD36" s="142"/>
      <c r="DE36" s="142"/>
      <c r="DF36" s="142"/>
      <c r="DG36" s="142"/>
      <c r="DH36" s="142"/>
      <c r="DI36" s="142"/>
      <c r="DJ36" s="142"/>
      <c r="DK36" s="142"/>
      <c r="DL36" s="142"/>
      <c r="DM36" s="142"/>
      <c r="DN36" s="142"/>
      <c r="DO36" s="142"/>
      <c r="DP36" s="142"/>
      <c r="DQ36" s="142"/>
      <c r="DR36" s="142"/>
      <c r="DS36" s="142"/>
      <c r="DT36" s="142"/>
      <c r="DU36" s="142"/>
      <c r="DV36" s="142"/>
      <c r="DW36" s="142"/>
      <c r="DX36" s="142"/>
      <c r="DY36" s="142"/>
      <c r="DZ36" s="142"/>
      <c r="EA36" s="142"/>
      <c r="EB36" s="142"/>
      <c r="EC36" s="142"/>
      <c r="ED36" s="142"/>
      <c r="EE36" s="142"/>
      <c r="EF36" s="142"/>
      <c r="EG36" s="142"/>
      <c r="EH36" s="142"/>
      <c r="EI36" s="142"/>
      <c r="EJ36" s="142"/>
      <c r="EK36" s="142"/>
      <c r="EL36" s="142"/>
      <c r="EM36" s="142"/>
      <c r="EN36" s="142"/>
      <c r="EO36" s="142"/>
      <c r="EP36" s="142"/>
      <c r="EQ36" s="142"/>
      <c r="ER36" s="142"/>
      <c r="ES36" s="142"/>
      <c r="ET36" s="142"/>
      <c r="EU36" s="142"/>
      <c r="EV36" s="142"/>
      <c r="EW36" s="142"/>
      <c r="EX36" s="142"/>
      <c r="EY36" s="142"/>
      <c r="EZ36" s="142"/>
      <c r="FA36" s="142"/>
      <c r="FB36" s="142"/>
      <c r="FC36" s="142"/>
      <c r="FD36" s="142"/>
      <c r="FE36" s="142"/>
      <c r="FF36" s="142"/>
      <c r="FG36" s="142"/>
      <c r="FH36" s="142"/>
      <c r="FI36" s="142"/>
      <c r="FJ36" s="142"/>
      <c r="FK36" s="142"/>
      <c r="FL36" s="142"/>
      <c r="FM36" s="142"/>
      <c r="FN36" s="142"/>
      <c r="FO36" s="142"/>
      <c r="FP36" s="142"/>
      <c r="FQ36" s="142"/>
      <c r="FR36" s="142"/>
      <c r="FS36" s="142"/>
      <c r="FT36" s="142"/>
      <c r="FU36" s="142"/>
      <c r="FV36" s="142"/>
      <c r="FW36" s="142"/>
      <c r="FX36" s="142"/>
      <c r="FY36" s="142"/>
      <c r="FZ36" s="142"/>
      <c r="GA36" s="142"/>
      <c r="GB36" s="142"/>
      <c r="GC36" s="142"/>
      <c r="GD36" s="142"/>
      <c r="GE36" s="142"/>
      <c r="GF36" s="142"/>
      <c r="GG36" s="142"/>
      <c r="GH36" s="142"/>
      <c r="GI36" s="142"/>
      <c r="GJ36" s="142"/>
      <c r="GK36" s="142"/>
      <c r="GL36" s="142"/>
      <c r="GM36" s="142"/>
    </row>
    <row r="37" spans="1:195" customFormat="1" ht="15" x14ac:dyDescent="0.25">
      <c r="A37" s="17" t="s">
        <v>94</v>
      </c>
      <c r="B37" s="47">
        <f t="shared" si="15"/>
        <v>0</v>
      </c>
      <c r="C37" s="6"/>
      <c r="D37" s="48"/>
      <c r="E37" s="6"/>
      <c r="F37" s="6">
        <f t="shared" si="16"/>
        <v>0</v>
      </c>
      <c r="G37" s="6"/>
      <c r="H37" s="6"/>
      <c r="I37" s="6"/>
      <c r="J37" s="47">
        <f t="shared" si="17"/>
        <v>0</v>
      </c>
      <c r="K37" s="6"/>
      <c r="L37" s="48"/>
      <c r="M37" s="6"/>
      <c r="N37" s="6">
        <f t="shared" si="18"/>
        <v>0</v>
      </c>
      <c r="O37" s="6"/>
      <c r="P37" s="6"/>
      <c r="Q37" s="6"/>
      <c r="R37" s="47">
        <f t="shared" si="19"/>
        <v>0</v>
      </c>
      <c r="S37" s="6"/>
      <c r="T37" s="48"/>
      <c r="U37" s="6"/>
      <c r="V37" s="6">
        <f t="shared" si="20"/>
        <v>0</v>
      </c>
      <c r="W37" s="6"/>
      <c r="X37" s="6"/>
      <c r="Y37" s="6"/>
      <c r="Z37" s="47">
        <f t="shared" si="21"/>
        <v>0</v>
      </c>
      <c r="AA37" s="6"/>
      <c r="AB37" s="48"/>
      <c r="AC37" s="6"/>
      <c r="AD37" s="6">
        <f t="shared" si="22"/>
        <v>0</v>
      </c>
      <c r="AE37" s="6"/>
      <c r="AF37" s="6"/>
      <c r="AG37" s="6"/>
      <c r="AH37" s="47">
        <f t="shared" si="23"/>
        <v>0</v>
      </c>
      <c r="AI37" s="6"/>
      <c r="AJ37" s="48"/>
      <c r="AK37" s="6"/>
      <c r="AL37" s="6">
        <f t="shared" si="24"/>
        <v>0</v>
      </c>
      <c r="AM37" s="6"/>
      <c r="AN37" s="6"/>
      <c r="AO37" s="6"/>
      <c r="AP37" s="47">
        <f t="shared" si="25"/>
        <v>0</v>
      </c>
      <c r="AQ37" s="6"/>
      <c r="AR37" s="48"/>
      <c r="AS37" s="6"/>
      <c r="AT37" s="6">
        <f t="shared" si="26"/>
        <v>0</v>
      </c>
      <c r="AU37" s="6"/>
      <c r="AV37" s="6"/>
      <c r="AW37" s="6"/>
      <c r="AX37" s="47">
        <f t="shared" si="27"/>
        <v>0</v>
      </c>
      <c r="AY37" s="6">
        <f t="shared" si="28"/>
        <v>0</v>
      </c>
      <c r="AZ37" s="6">
        <f t="shared" si="29"/>
        <v>0</v>
      </c>
      <c r="BA37" s="6"/>
      <c r="BB37" s="6"/>
      <c r="BC37" s="6"/>
      <c r="BD37" s="6"/>
      <c r="BE37" s="6"/>
      <c r="BF37" s="6"/>
      <c r="BG37" s="6"/>
      <c r="BH37" s="6"/>
      <c r="BI37" s="6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2"/>
      <c r="BZ37" s="142"/>
      <c r="CA37" s="142"/>
      <c r="CB37" s="142"/>
      <c r="CC37" s="142"/>
      <c r="CD37" s="142"/>
      <c r="CE37" s="142"/>
      <c r="CF37" s="142"/>
      <c r="CG37" s="142"/>
      <c r="CH37" s="142"/>
      <c r="CI37" s="142"/>
      <c r="CJ37" s="142"/>
      <c r="CK37" s="142"/>
      <c r="CL37" s="142"/>
      <c r="CM37" s="142"/>
      <c r="CN37" s="142"/>
      <c r="CO37" s="142"/>
      <c r="CP37" s="142"/>
      <c r="CQ37" s="142"/>
      <c r="CR37" s="142"/>
      <c r="CS37" s="142"/>
      <c r="CT37" s="142"/>
      <c r="CU37" s="142"/>
      <c r="CV37" s="142"/>
      <c r="CW37" s="142"/>
      <c r="CX37" s="142"/>
      <c r="CY37" s="142"/>
      <c r="CZ37" s="142"/>
      <c r="DA37" s="142"/>
      <c r="DB37" s="142"/>
      <c r="DC37" s="142"/>
      <c r="DD37" s="142"/>
      <c r="DE37" s="142"/>
      <c r="DF37" s="142"/>
      <c r="DG37" s="142"/>
      <c r="DH37" s="142"/>
      <c r="DI37" s="142"/>
      <c r="DJ37" s="142"/>
      <c r="DK37" s="142"/>
      <c r="DL37" s="142"/>
      <c r="DM37" s="142"/>
      <c r="DN37" s="142"/>
      <c r="DO37" s="142"/>
      <c r="DP37" s="142"/>
      <c r="DQ37" s="142"/>
      <c r="DR37" s="142"/>
      <c r="DS37" s="142"/>
      <c r="DT37" s="142"/>
      <c r="DU37" s="142"/>
      <c r="DV37" s="142"/>
      <c r="DW37" s="142"/>
      <c r="DX37" s="142"/>
      <c r="DY37" s="142"/>
      <c r="DZ37" s="142"/>
      <c r="EA37" s="142"/>
      <c r="EB37" s="142"/>
      <c r="EC37" s="142"/>
      <c r="ED37" s="142"/>
      <c r="EE37" s="142"/>
      <c r="EF37" s="142"/>
      <c r="EG37" s="142"/>
      <c r="EH37" s="142"/>
      <c r="EI37" s="142"/>
      <c r="EJ37" s="142"/>
      <c r="EK37" s="142"/>
      <c r="EL37" s="142"/>
      <c r="EM37" s="142"/>
      <c r="EN37" s="142"/>
      <c r="EO37" s="142"/>
      <c r="EP37" s="142"/>
      <c r="EQ37" s="142"/>
      <c r="ER37" s="142"/>
      <c r="ES37" s="142"/>
      <c r="ET37" s="142"/>
      <c r="EU37" s="142"/>
      <c r="EV37" s="142"/>
      <c r="EW37" s="142"/>
      <c r="EX37" s="142"/>
      <c r="EY37" s="142"/>
      <c r="EZ37" s="142"/>
      <c r="FA37" s="142"/>
      <c r="FB37" s="142"/>
      <c r="FC37" s="142"/>
      <c r="FD37" s="142"/>
      <c r="FE37" s="142"/>
      <c r="FF37" s="142"/>
      <c r="FG37" s="142"/>
      <c r="FH37" s="142"/>
      <c r="FI37" s="142"/>
      <c r="FJ37" s="142"/>
      <c r="FK37" s="142"/>
      <c r="FL37" s="142"/>
      <c r="FM37" s="142"/>
      <c r="FN37" s="142"/>
      <c r="FO37" s="142"/>
      <c r="FP37" s="142"/>
      <c r="FQ37" s="142"/>
      <c r="FR37" s="142"/>
      <c r="FS37" s="142"/>
      <c r="FT37" s="142"/>
      <c r="FU37" s="142"/>
      <c r="FV37" s="142"/>
      <c r="FW37" s="142"/>
      <c r="FX37" s="142"/>
      <c r="FY37" s="142"/>
      <c r="FZ37" s="142"/>
      <c r="GA37" s="142"/>
      <c r="GB37" s="142"/>
      <c r="GC37" s="142"/>
      <c r="GD37" s="142"/>
      <c r="GE37" s="142"/>
      <c r="GF37" s="142"/>
      <c r="GG37" s="142"/>
      <c r="GH37" s="142"/>
      <c r="GI37" s="142"/>
      <c r="GJ37" s="142"/>
      <c r="GK37" s="142"/>
      <c r="GL37" s="142"/>
      <c r="GM37" s="142"/>
    </row>
    <row r="38" spans="1:195" customFormat="1" ht="15" x14ac:dyDescent="0.25">
      <c r="A38" s="17" t="s">
        <v>81</v>
      </c>
      <c r="B38" s="47">
        <f t="shared" si="15"/>
        <v>0</v>
      </c>
      <c r="C38" s="6"/>
      <c r="D38" s="48"/>
      <c r="E38" s="6"/>
      <c r="F38" s="6">
        <f t="shared" si="16"/>
        <v>0</v>
      </c>
      <c r="G38" s="6"/>
      <c r="H38" s="6"/>
      <c r="I38" s="6"/>
      <c r="J38" s="47">
        <f t="shared" si="17"/>
        <v>0</v>
      </c>
      <c r="K38" s="6"/>
      <c r="L38" s="48"/>
      <c r="M38" s="6"/>
      <c r="N38" s="6">
        <f t="shared" si="18"/>
        <v>0</v>
      </c>
      <c r="O38" s="6"/>
      <c r="P38" s="6"/>
      <c r="Q38" s="6"/>
      <c r="R38" s="47">
        <f t="shared" si="19"/>
        <v>0</v>
      </c>
      <c r="S38" s="6"/>
      <c r="T38" s="48"/>
      <c r="U38" s="6"/>
      <c r="V38" s="6">
        <f t="shared" si="20"/>
        <v>0</v>
      </c>
      <c r="W38" s="6"/>
      <c r="X38" s="6"/>
      <c r="Y38" s="6"/>
      <c r="Z38" s="47">
        <f t="shared" si="21"/>
        <v>0</v>
      </c>
      <c r="AA38" s="6"/>
      <c r="AB38" s="48"/>
      <c r="AC38" s="6"/>
      <c r="AD38" s="6">
        <f t="shared" si="22"/>
        <v>0</v>
      </c>
      <c r="AE38" s="6"/>
      <c r="AF38" s="6"/>
      <c r="AG38" s="6"/>
      <c r="AH38" s="47">
        <f t="shared" si="23"/>
        <v>0</v>
      </c>
      <c r="AI38" s="6"/>
      <c r="AJ38" s="48"/>
      <c r="AK38" s="6"/>
      <c r="AL38" s="6">
        <f t="shared" si="24"/>
        <v>0</v>
      </c>
      <c r="AM38" s="6"/>
      <c r="AN38" s="6"/>
      <c r="AO38" s="6"/>
      <c r="AP38" s="47">
        <f t="shared" si="25"/>
        <v>0</v>
      </c>
      <c r="AQ38" s="6"/>
      <c r="AR38" s="48"/>
      <c r="AS38" s="6"/>
      <c r="AT38" s="6">
        <f t="shared" si="26"/>
        <v>0</v>
      </c>
      <c r="AU38" s="6"/>
      <c r="AV38" s="6"/>
      <c r="AW38" s="6"/>
      <c r="AX38" s="47">
        <f t="shared" si="27"/>
        <v>0</v>
      </c>
      <c r="AY38" s="6">
        <f t="shared" si="28"/>
        <v>0</v>
      </c>
      <c r="AZ38" s="6">
        <f t="shared" si="29"/>
        <v>0</v>
      </c>
      <c r="BA38" s="6"/>
      <c r="BB38" s="6"/>
      <c r="BC38" s="6"/>
      <c r="BD38" s="6"/>
      <c r="BE38" s="6"/>
      <c r="BF38" s="6"/>
      <c r="BG38" s="6"/>
      <c r="BH38" s="6"/>
      <c r="BI38" s="6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2"/>
      <c r="CD38" s="142"/>
      <c r="CE38" s="142"/>
      <c r="CF38" s="142"/>
      <c r="CG38" s="142"/>
      <c r="CH38" s="142"/>
      <c r="CI38" s="142"/>
      <c r="CJ38" s="142"/>
      <c r="CK38" s="142"/>
      <c r="CL38" s="142"/>
      <c r="CM38" s="142"/>
      <c r="CN38" s="142"/>
      <c r="CO38" s="142"/>
      <c r="CP38" s="142"/>
      <c r="CQ38" s="142"/>
      <c r="CR38" s="142"/>
      <c r="CS38" s="142"/>
      <c r="CT38" s="142"/>
      <c r="CU38" s="142"/>
      <c r="CV38" s="142"/>
      <c r="CW38" s="142"/>
      <c r="CX38" s="142"/>
      <c r="CY38" s="142"/>
      <c r="CZ38" s="142"/>
      <c r="DA38" s="142"/>
      <c r="DB38" s="142"/>
      <c r="DC38" s="142"/>
      <c r="DD38" s="142"/>
      <c r="DE38" s="142"/>
      <c r="DF38" s="142"/>
      <c r="DG38" s="142"/>
      <c r="DH38" s="142"/>
      <c r="DI38" s="142"/>
      <c r="DJ38" s="142"/>
      <c r="DK38" s="142"/>
      <c r="DL38" s="142"/>
      <c r="DM38" s="142"/>
      <c r="DN38" s="142"/>
      <c r="DO38" s="142"/>
      <c r="DP38" s="142"/>
      <c r="DQ38" s="142"/>
      <c r="DR38" s="142"/>
      <c r="DS38" s="142"/>
      <c r="DT38" s="142"/>
      <c r="DU38" s="142"/>
      <c r="DV38" s="142"/>
      <c r="DW38" s="142"/>
      <c r="DX38" s="142"/>
      <c r="DY38" s="142"/>
      <c r="DZ38" s="142"/>
      <c r="EA38" s="142"/>
      <c r="EB38" s="142"/>
      <c r="EC38" s="142"/>
      <c r="ED38" s="142"/>
      <c r="EE38" s="142"/>
      <c r="EF38" s="142"/>
      <c r="EG38" s="142"/>
      <c r="EH38" s="142"/>
      <c r="EI38" s="142"/>
      <c r="EJ38" s="142"/>
      <c r="EK38" s="142"/>
      <c r="EL38" s="142"/>
      <c r="EM38" s="142"/>
      <c r="EN38" s="142"/>
      <c r="EO38" s="142"/>
      <c r="EP38" s="142"/>
      <c r="EQ38" s="142"/>
      <c r="ER38" s="142"/>
      <c r="ES38" s="142"/>
      <c r="ET38" s="142"/>
      <c r="EU38" s="142"/>
      <c r="EV38" s="142"/>
      <c r="EW38" s="142"/>
      <c r="EX38" s="142"/>
      <c r="EY38" s="142"/>
      <c r="EZ38" s="142"/>
      <c r="FA38" s="142"/>
      <c r="FB38" s="142"/>
      <c r="FC38" s="142"/>
      <c r="FD38" s="142"/>
      <c r="FE38" s="142"/>
      <c r="FF38" s="142"/>
      <c r="FG38" s="142"/>
      <c r="FH38" s="142"/>
      <c r="FI38" s="142"/>
      <c r="FJ38" s="142"/>
      <c r="FK38" s="142"/>
      <c r="FL38" s="142"/>
      <c r="FM38" s="142"/>
      <c r="FN38" s="142"/>
      <c r="FO38" s="142"/>
      <c r="FP38" s="142"/>
      <c r="FQ38" s="142"/>
      <c r="FR38" s="142"/>
      <c r="FS38" s="142"/>
      <c r="FT38" s="142"/>
      <c r="FU38" s="142"/>
      <c r="FV38" s="142"/>
      <c r="FW38" s="142"/>
      <c r="FX38" s="142"/>
      <c r="FY38" s="142"/>
      <c r="FZ38" s="142"/>
      <c r="GA38" s="142"/>
      <c r="GB38" s="142"/>
      <c r="GC38" s="142"/>
      <c r="GD38" s="142"/>
      <c r="GE38" s="142"/>
      <c r="GF38" s="142"/>
      <c r="GG38" s="142"/>
      <c r="GH38" s="142"/>
      <c r="GI38" s="142"/>
      <c r="GJ38" s="142"/>
      <c r="GK38" s="142"/>
      <c r="GL38" s="142"/>
      <c r="GM38" s="142"/>
    </row>
    <row r="39" spans="1:195" customFormat="1" ht="15" x14ac:dyDescent="0.25">
      <c r="A39" s="17" t="s">
        <v>82</v>
      </c>
      <c r="B39" s="47">
        <f t="shared" si="15"/>
        <v>0</v>
      </c>
      <c r="C39" s="6"/>
      <c r="D39" s="48"/>
      <c r="E39" s="6"/>
      <c r="F39" s="6">
        <f t="shared" si="16"/>
        <v>0</v>
      </c>
      <c r="G39" s="6"/>
      <c r="H39" s="6"/>
      <c r="I39" s="6"/>
      <c r="J39" s="47">
        <f t="shared" si="17"/>
        <v>0</v>
      </c>
      <c r="K39" s="6"/>
      <c r="L39" s="48"/>
      <c r="M39" s="6"/>
      <c r="N39" s="6">
        <f t="shared" si="18"/>
        <v>0</v>
      </c>
      <c r="O39" s="6"/>
      <c r="P39" s="6"/>
      <c r="Q39" s="6"/>
      <c r="R39" s="47">
        <f t="shared" si="19"/>
        <v>0</v>
      </c>
      <c r="S39" s="6"/>
      <c r="T39" s="48"/>
      <c r="U39" s="6"/>
      <c r="V39" s="6">
        <f t="shared" si="20"/>
        <v>0</v>
      </c>
      <c r="W39" s="6"/>
      <c r="X39" s="6"/>
      <c r="Y39" s="6"/>
      <c r="Z39" s="47">
        <f t="shared" si="21"/>
        <v>0</v>
      </c>
      <c r="AA39" s="6"/>
      <c r="AB39" s="48"/>
      <c r="AC39" s="6"/>
      <c r="AD39" s="6">
        <f t="shared" si="22"/>
        <v>0</v>
      </c>
      <c r="AE39" s="6"/>
      <c r="AF39" s="6"/>
      <c r="AG39" s="6"/>
      <c r="AH39" s="47">
        <f t="shared" si="23"/>
        <v>0</v>
      </c>
      <c r="AI39" s="6"/>
      <c r="AJ39" s="48"/>
      <c r="AK39" s="6"/>
      <c r="AL39" s="6">
        <f t="shared" si="24"/>
        <v>0</v>
      </c>
      <c r="AM39" s="6"/>
      <c r="AN39" s="6"/>
      <c r="AO39" s="6"/>
      <c r="AP39" s="47">
        <f t="shared" si="25"/>
        <v>0</v>
      </c>
      <c r="AQ39" s="6"/>
      <c r="AR39" s="48"/>
      <c r="AS39" s="6"/>
      <c r="AT39" s="6">
        <f t="shared" si="26"/>
        <v>0</v>
      </c>
      <c r="AU39" s="6"/>
      <c r="AV39" s="6"/>
      <c r="AW39" s="6"/>
      <c r="AX39" s="47">
        <f t="shared" si="27"/>
        <v>0</v>
      </c>
      <c r="AY39" s="6">
        <f t="shared" si="28"/>
        <v>0</v>
      </c>
      <c r="AZ39" s="6">
        <f t="shared" si="29"/>
        <v>0</v>
      </c>
      <c r="BA39" s="6"/>
      <c r="BB39" s="6"/>
      <c r="BC39" s="6"/>
      <c r="BD39" s="6"/>
      <c r="BE39" s="6"/>
      <c r="BF39" s="6"/>
      <c r="BG39" s="6"/>
      <c r="BH39" s="6"/>
      <c r="BI39" s="6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2"/>
      <c r="CD39" s="142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  <c r="CO39" s="142"/>
      <c r="CP39" s="142"/>
      <c r="CQ39" s="142"/>
      <c r="CR39" s="142"/>
      <c r="CS39" s="142"/>
      <c r="CT39" s="142"/>
      <c r="CU39" s="142"/>
      <c r="CV39" s="142"/>
      <c r="CW39" s="142"/>
      <c r="CX39" s="142"/>
      <c r="CY39" s="142"/>
      <c r="CZ39" s="142"/>
      <c r="DA39" s="142"/>
      <c r="DB39" s="142"/>
      <c r="DC39" s="142"/>
      <c r="DD39" s="142"/>
      <c r="DE39" s="142"/>
      <c r="DF39" s="142"/>
      <c r="DG39" s="142"/>
      <c r="DH39" s="142"/>
      <c r="DI39" s="142"/>
      <c r="DJ39" s="142"/>
      <c r="DK39" s="142"/>
      <c r="DL39" s="142"/>
      <c r="DM39" s="142"/>
      <c r="DN39" s="142"/>
      <c r="DO39" s="142"/>
      <c r="DP39" s="142"/>
      <c r="DQ39" s="142"/>
      <c r="DR39" s="142"/>
      <c r="DS39" s="142"/>
      <c r="DT39" s="142"/>
      <c r="DU39" s="142"/>
      <c r="DV39" s="142"/>
      <c r="DW39" s="142"/>
      <c r="DX39" s="142"/>
      <c r="DY39" s="142"/>
      <c r="DZ39" s="142"/>
      <c r="EA39" s="142"/>
      <c r="EB39" s="142"/>
      <c r="EC39" s="142"/>
      <c r="ED39" s="142"/>
      <c r="EE39" s="142"/>
      <c r="EF39" s="142"/>
      <c r="EG39" s="142"/>
      <c r="EH39" s="142"/>
      <c r="EI39" s="142"/>
      <c r="EJ39" s="142"/>
      <c r="EK39" s="142"/>
      <c r="EL39" s="142"/>
      <c r="EM39" s="142"/>
      <c r="EN39" s="142"/>
      <c r="EO39" s="142"/>
      <c r="EP39" s="142"/>
      <c r="EQ39" s="142"/>
      <c r="ER39" s="142"/>
      <c r="ES39" s="142"/>
      <c r="ET39" s="142"/>
      <c r="EU39" s="142"/>
      <c r="EV39" s="142"/>
      <c r="EW39" s="142"/>
      <c r="EX39" s="142"/>
      <c r="EY39" s="142"/>
      <c r="EZ39" s="142"/>
      <c r="FA39" s="142"/>
      <c r="FB39" s="142"/>
      <c r="FC39" s="142"/>
      <c r="FD39" s="142"/>
      <c r="FE39" s="142"/>
      <c r="FF39" s="142"/>
      <c r="FG39" s="142"/>
      <c r="FH39" s="142"/>
      <c r="FI39" s="142"/>
      <c r="FJ39" s="142"/>
      <c r="FK39" s="142"/>
      <c r="FL39" s="142"/>
      <c r="FM39" s="142"/>
      <c r="FN39" s="142"/>
      <c r="FO39" s="142"/>
      <c r="FP39" s="142"/>
      <c r="FQ39" s="142"/>
      <c r="FR39" s="142"/>
      <c r="FS39" s="142"/>
      <c r="FT39" s="142"/>
      <c r="FU39" s="142"/>
      <c r="FV39" s="142"/>
      <c r="FW39" s="142"/>
      <c r="FX39" s="142"/>
      <c r="FY39" s="142"/>
      <c r="FZ39" s="142"/>
      <c r="GA39" s="142"/>
      <c r="GB39" s="142"/>
      <c r="GC39" s="142"/>
      <c r="GD39" s="142"/>
      <c r="GE39" s="142"/>
      <c r="GF39" s="142"/>
      <c r="GG39" s="142"/>
      <c r="GH39" s="142"/>
      <c r="GI39" s="142"/>
      <c r="GJ39" s="142"/>
      <c r="GK39" s="142"/>
      <c r="GL39" s="142"/>
      <c r="GM39" s="142"/>
    </row>
    <row r="40" spans="1:195" customFormat="1" ht="15" x14ac:dyDescent="0.25">
      <c r="A40" s="17" t="s">
        <v>95</v>
      </c>
      <c r="B40" s="47">
        <f t="shared" si="15"/>
        <v>0</v>
      </c>
      <c r="C40" s="6"/>
      <c r="D40" s="48"/>
      <c r="E40" s="6"/>
      <c r="F40" s="6">
        <f t="shared" si="16"/>
        <v>0</v>
      </c>
      <c r="G40" s="6"/>
      <c r="H40" s="6"/>
      <c r="I40" s="6"/>
      <c r="J40" s="47">
        <f t="shared" si="17"/>
        <v>0</v>
      </c>
      <c r="K40" s="6"/>
      <c r="L40" s="48"/>
      <c r="M40" s="6"/>
      <c r="N40" s="6">
        <f t="shared" si="18"/>
        <v>0</v>
      </c>
      <c r="O40" s="6"/>
      <c r="P40" s="6"/>
      <c r="Q40" s="6"/>
      <c r="R40" s="47">
        <f t="shared" si="19"/>
        <v>0</v>
      </c>
      <c r="S40" s="6"/>
      <c r="T40" s="48"/>
      <c r="U40" s="6"/>
      <c r="V40" s="6">
        <f t="shared" si="20"/>
        <v>0</v>
      </c>
      <c r="W40" s="6"/>
      <c r="X40" s="6"/>
      <c r="Y40" s="6"/>
      <c r="Z40" s="47">
        <f t="shared" si="21"/>
        <v>0</v>
      </c>
      <c r="AA40" s="6"/>
      <c r="AB40" s="48"/>
      <c r="AC40" s="6"/>
      <c r="AD40" s="6">
        <f t="shared" si="22"/>
        <v>0</v>
      </c>
      <c r="AE40" s="6"/>
      <c r="AF40" s="6"/>
      <c r="AG40" s="6"/>
      <c r="AH40" s="47">
        <f t="shared" si="23"/>
        <v>0</v>
      </c>
      <c r="AI40" s="6"/>
      <c r="AJ40" s="48"/>
      <c r="AK40" s="6"/>
      <c r="AL40" s="6">
        <f t="shared" si="24"/>
        <v>0</v>
      </c>
      <c r="AM40" s="6"/>
      <c r="AN40" s="6"/>
      <c r="AO40" s="6"/>
      <c r="AP40" s="47">
        <f t="shared" si="25"/>
        <v>0</v>
      </c>
      <c r="AQ40" s="6"/>
      <c r="AR40" s="48"/>
      <c r="AS40" s="6"/>
      <c r="AT40" s="6">
        <f t="shared" si="26"/>
        <v>0</v>
      </c>
      <c r="AU40" s="6"/>
      <c r="AV40" s="6"/>
      <c r="AW40" s="6"/>
      <c r="AX40" s="47">
        <f t="shared" si="27"/>
        <v>0</v>
      </c>
      <c r="AY40" s="6">
        <f t="shared" si="28"/>
        <v>0</v>
      </c>
      <c r="AZ40" s="6">
        <f t="shared" si="29"/>
        <v>0</v>
      </c>
      <c r="BA40" s="6"/>
      <c r="BB40" s="6"/>
      <c r="BC40" s="6"/>
      <c r="BD40" s="6"/>
      <c r="BE40" s="6"/>
      <c r="BF40" s="6"/>
      <c r="BG40" s="6"/>
      <c r="BH40" s="6"/>
      <c r="BI40" s="6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  <c r="CD40" s="142"/>
      <c r="CE40" s="142"/>
      <c r="CF40" s="142"/>
      <c r="CG40" s="142"/>
      <c r="CH40" s="142"/>
      <c r="CI40" s="142"/>
      <c r="CJ40" s="142"/>
      <c r="CK40" s="142"/>
      <c r="CL40" s="142"/>
      <c r="CM40" s="142"/>
      <c r="CN40" s="142"/>
      <c r="CO40" s="142"/>
      <c r="CP40" s="142"/>
      <c r="CQ40" s="142"/>
      <c r="CR40" s="142"/>
      <c r="CS40" s="142"/>
      <c r="CT40" s="142"/>
      <c r="CU40" s="142"/>
      <c r="CV40" s="142"/>
      <c r="CW40" s="142"/>
      <c r="CX40" s="142"/>
      <c r="CY40" s="142"/>
      <c r="CZ40" s="142"/>
      <c r="DA40" s="142"/>
      <c r="DB40" s="142"/>
      <c r="DC40" s="142"/>
      <c r="DD40" s="142"/>
      <c r="DE40" s="142"/>
      <c r="DF40" s="142"/>
      <c r="DG40" s="142"/>
      <c r="DH40" s="142"/>
      <c r="DI40" s="142"/>
      <c r="DJ40" s="142"/>
      <c r="DK40" s="142"/>
      <c r="DL40" s="142"/>
      <c r="DM40" s="142"/>
      <c r="DN40" s="142"/>
      <c r="DO40" s="142"/>
      <c r="DP40" s="142"/>
      <c r="DQ40" s="142"/>
      <c r="DR40" s="142"/>
      <c r="DS40" s="142"/>
      <c r="DT40" s="142"/>
      <c r="DU40" s="142"/>
      <c r="DV40" s="142"/>
      <c r="DW40" s="142"/>
      <c r="DX40" s="142"/>
      <c r="DY40" s="142"/>
      <c r="DZ40" s="142"/>
      <c r="EA40" s="142"/>
      <c r="EB40" s="142"/>
      <c r="EC40" s="142"/>
      <c r="ED40" s="142"/>
      <c r="EE40" s="142"/>
      <c r="EF40" s="142"/>
      <c r="EG40" s="142"/>
      <c r="EH40" s="142"/>
      <c r="EI40" s="142"/>
      <c r="EJ40" s="142"/>
      <c r="EK40" s="142"/>
      <c r="EL40" s="142"/>
      <c r="EM40" s="142"/>
      <c r="EN40" s="142"/>
      <c r="EO40" s="142"/>
      <c r="EP40" s="142"/>
      <c r="EQ40" s="142"/>
      <c r="ER40" s="142"/>
      <c r="ES40" s="142"/>
      <c r="ET40" s="142"/>
      <c r="EU40" s="142"/>
      <c r="EV40" s="142"/>
      <c r="EW40" s="142"/>
      <c r="EX40" s="142"/>
      <c r="EY40" s="142"/>
      <c r="EZ40" s="142"/>
      <c r="FA40" s="142"/>
      <c r="FB40" s="142"/>
      <c r="FC40" s="142"/>
      <c r="FD40" s="142"/>
      <c r="FE40" s="142"/>
      <c r="FF40" s="142"/>
      <c r="FG40" s="142"/>
      <c r="FH40" s="142"/>
      <c r="FI40" s="142"/>
      <c r="FJ40" s="142"/>
      <c r="FK40" s="142"/>
      <c r="FL40" s="142"/>
      <c r="FM40" s="142"/>
      <c r="FN40" s="142"/>
      <c r="FO40" s="142"/>
      <c r="FP40" s="142"/>
      <c r="FQ40" s="142"/>
      <c r="FR40" s="142"/>
      <c r="FS40" s="142"/>
      <c r="FT40" s="142"/>
      <c r="FU40" s="142"/>
      <c r="FV40" s="142"/>
      <c r="FW40" s="142"/>
      <c r="FX40" s="142"/>
      <c r="FY40" s="142"/>
      <c r="FZ40" s="142"/>
      <c r="GA40" s="142"/>
      <c r="GB40" s="142"/>
      <c r="GC40" s="142"/>
      <c r="GD40" s="142"/>
      <c r="GE40" s="142"/>
      <c r="GF40" s="142"/>
      <c r="GG40" s="142"/>
      <c r="GH40" s="142"/>
      <c r="GI40" s="142"/>
      <c r="GJ40" s="142"/>
      <c r="GK40" s="142"/>
      <c r="GL40" s="142"/>
      <c r="GM40" s="142"/>
    </row>
    <row r="41" spans="1:195" customFormat="1" ht="15" x14ac:dyDescent="0.25">
      <c r="A41" s="17" t="s">
        <v>96</v>
      </c>
      <c r="B41" s="47">
        <f t="shared" si="15"/>
        <v>0</v>
      </c>
      <c r="C41" s="6"/>
      <c r="D41" s="48"/>
      <c r="E41" s="6"/>
      <c r="F41" s="6">
        <f t="shared" si="16"/>
        <v>0</v>
      </c>
      <c r="G41" s="6"/>
      <c r="H41" s="6"/>
      <c r="I41" s="6"/>
      <c r="J41" s="47">
        <f t="shared" si="17"/>
        <v>0</v>
      </c>
      <c r="K41" s="6"/>
      <c r="L41" s="48"/>
      <c r="M41" s="6"/>
      <c r="N41" s="6">
        <f t="shared" si="18"/>
        <v>0</v>
      </c>
      <c r="O41" s="6"/>
      <c r="P41" s="6"/>
      <c r="Q41" s="6"/>
      <c r="R41" s="47">
        <f t="shared" si="19"/>
        <v>0</v>
      </c>
      <c r="S41" s="6"/>
      <c r="T41" s="48"/>
      <c r="U41" s="6"/>
      <c r="V41" s="6">
        <f t="shared" si="20"/>
        <v>0</v>
      </c>
      <c r="W41" s="6"/>
      <c r="X41" s="6"/>
      <c r="Y41" s="6"/>
      <c r="Z41" s="47">
        <f t="shared" si="21"/>
        <v>0</v>
      </c>
      <c r="AA41" s="6"/>
      <c r="AB41" s="48"/>
      <c r="AC41" s="6"/>
      <c r="AD41" s="6">
        <f t="shared" si="22"/>
        <v>0</v>
      </c>
      <c r="AE41" s="6"/>
      <c r="AF41" s="6"/>
      <c r="AG41" s="6"/>
      <c r="AH41" s="47">
        <f t="shared" si="23"/>
        <v>0</v>
      </c>
      <c r="AI41" s="6"/>
      <c r="AJ41" s="48"/>
      <c r="AK41" s="6"/>
      <c r="AL41" s="6">
        <f t="shared" si="24"/>
        <v>0</v>
      </c>
      <c r="AM41" s="6"/>
      <c r="AN41" s="6"/>
      <c r="AO41" s="6"/>
      <c r="AP41" s="47">
        <f t="shared" si="25"/>
        <v>0</v>
      </c>
      <c r="AQ41" s="6"/>
      <c r="AR41" s="48"/>
      <c r="AS41" s="6"/>
      <c r="AT41" s="6">
        <f t="shared" si="26"/>
        <v>0</v>
      </c>
      <c r="AU41" s="6"/>
      <c r="AV41" s="6"/>
      <c r="AW41" s="6"/>
      <c r="AX41" s="47">
        <f t="shared" si="27"/>
        <v>0</v>
      </c>
      <c r="AY41" s="6">
        <f t="shared" si="28"/>
        <v>0</v>
      </c>
      <c r="AZ41" s="6">
        <f t="shared" si="29"/>
        <v>0</v>
      </c>
      <c r="BA41" s="6"/>
      <c r="BB41" s="6"/>
      <c r="BC41" s="6"/>
      <c r="BD41" s="6"/>
      <c r="BE41" s="6"/>
      <c r="BF41" s="6"/>
      <c r="BG41" s="6"/>
      <c r="BH41" s="6"/>
      <c r="BI41" s="6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X41" s="142"/>
      <c r="BY41" s="142"/>
      <c r="BZ41" s="142"/>
      <c r="CA41" s="142"/>
      <c r="CB41" s="142"/>
      <c r="CC41" s="142"/>
      <c r="CD41" s="142"/>
      <c r="CE41" s="142"/>
      <c r="CF41" s="142"/>
      <c r="CG41" s="142"/>
      <c r="CH41" s="142"/>
      <c r="CI41" s="142"/>
      <c r="CJ41" s="142"/>
      <c r="CK41" s="142"/>
      <c r="CL41" s="142"/>
      <c r="CM41" s="142"/>
      <c r="CN41" s="142"/>
      <c r="CO41" s="142"/>
      <c r="CP41" s="142"/>
      <c r="CQ41" s="142"/>
      <c r="CR41" s="142"/>
      <c r="CS41" s="142"/>
      <c r="CT41" s="142"/>
      <c r="CU41" s="142"/>
      <c r="CV41" s="142"/>
      <c r="CW41" s="142"/>
      <c r="CX41" s="142"/>
      <c r="CY41" s="142"/>
      <c r="CZ41" s="142"/>
      <c r="DA41" s="142"/>
      <c r="DB41" s="142"/>
      <c r="DC41" s="142"/>
      <c r="DD41" s="142"/>
      <c r="DE41" s="142"/>
      <c r="DF41" s="142"/>
      <c r="DG41" s="142"/>
      <c r="DH41" s="142"/>
      <c r="DI41" s="142"/>
      <c r="DJ41" s="142"/>
      <c r="DK41" s="142"/>
      <c r="DL41" s="142"/>
      <c r="DM41" s="142"/>
      <c r="DN41" s="142"/>
      <c r="DO41" s="142"/>
      <c r="DP41" s="142"/>
      <c r="DQ41" s="142"/>
      <c r="DR41" s="142"/>
      <c r="DS41" s="142"/>
      <c r="DT41" s="142"/>
      <c r="DU41" s="142"/>
      <c r="DV41" s="142"/>
      <c r="DW41" s="142"/>
      <c r="DX41" s="142"/>
      <c r="DY41" s="142"/>
      <c r="DZ41" s="142"/>
      <c r="EA41" s="142"/>
      <c r="EB41" s="142"/>
      <c r="EC41" s="142"/>
      <c r="ED41" s="142"/>
      <c r="EE41" s="142"/>
      <c r="EF41" s="142"/>
      <c r="EG41" s="142"/>
      <c r="EH41" s="142"/>
      <c r="EI41" s="142"/>
      <c r="EJ41" s="142"/>
      <c r="EK41" s="142"/>
      <c r="EL41" s="142"/>
      <c r="EM41" s="142"/>
      <c r="EN41" s="142"/>
      <c r="EO41" s="142"/>
      <c r="EP41" s="142"/>
      <c r="EQ41" s="142"/>
      <c r="ER41" s="142"/>
      <c r="ES41" s="142"/>
      <c r="ET41" s="142"/>
      <c r="EU41" s="142"/>
      <c r="EV41" s="142"/>
      <c r="EW41" s="142"/>
      <c r="EX41" s="142"/>
      <c r="EY41" s="142"/>
      <c r="EZ41" s="142"/>
      <c r="FA41" s="142"/>
      <c r="FB41" s="142"/>
      <c r="FC41" s="142"/>
      <c r="FD41" s="142"/>
      <c r="FE41" s="142"/>
      <c r="FF41" s="142"/>
      <c r="FG41" s="142"/>
      <c r="FH41" s="142"/>
      <c r="FI41" s="142"/>
      <c r="FJ41" s="142"/>
      <c r="FK41" s="142"/>
      <c r="FL41" s="142"/>
      <c r="FM41" s="142"/>
      <c r="FN41" s="142"/>
      <c r="FO41" s="142"/>
      <c r="FP41" s="142"/>
      <c r="FQ41" s="142"/>
      <c r="FR41" s="142"/>
      <c r="FS41" s="142"/>
      <c r="FT41" s="142"/>
      <c r="FU41" s="142"/>
      <c r="FV41" s="142"/>
      <c r="FW41" s="142"/>
      <c r="FX41" s="142"/>
      <c r="FY41" s="142"/>
      <c r="FZ41" s="142"/>
      <c r="GA41" s="142"/>
      <c r="GB41" s="142"/>
      <c r="GC41" s="142"/>
      <c r="GD41" s="142"/>
      <c r="GE41" s="142"/>
      <c r="GF41" s="142"/>
      <c r="GG41" s="142"/>
      <c r="GH41" s="142"/>
      <c r="GI41" s="142"/>
      <c r="GJ41" s="142"/>
      <c r="GK41" s="142"/>
      <c r="GL41" s="142"/>
      <c r="GM41" s="142"/>
    </row>
    <row r="42" spans="1:195" customFormat="1" ht="15" x14ac:dyDescent="0.25">
      <c r="A42" s="17" t="s">
        <v>81</v>
      </c>
      <c r="B42" s="47">
        <f t="shared" si="15"/>
        <v>0</v>
      </c>
      <c r="C42" s="6"/>
      <c r="D42" s="48"/>
      <c r="E42" s="6"/>
      <c r="F42" s="6">
        <f t="shared" si="16"/>
        <v>0</v>
      </c>
      <c r="G42" s="6"/>
      <c r="H42" s="6"/>
      <c r="I42" s="6"/>
      <c r="J42" s="47">
        <f t="shared" si="17"/>
        <v>0</v>
      </c>
      <c r="K42" s="6"/>
      <c r="L42" s="48"/>
      <c r="M42" s="6"/>
      <c r="N42" s="6">
        <f t="shared" si="18"/>
        <v>0</v>
      </c>
      <c r="O42" s="6"/>
      <c r="P42" s="6"/>
      <c r="Q42" s="6"/>
      <c r="R42" s="47">
        <f t="shared" si="19"/>
        <v>0</v>
      </c>
      <c r="S42" s="6"/>
      <c r="T42" s="48"/>
      <c r="U42" s="6"/>
      <c r="V42" s="6">
        <f t="shared" si="20"/>
        <v>0</v>
      </c>
      <c r="W42" s="6"/>
      <c r="X42" s="6"/>
      <c r="Y42" s="6"/>
      <c r="Z42" s="47">
        <f t="shared" si="21"/>
        <v>0</v>
      </c>
      <c r="AA42" s="6"/>
      <c r="AB42" s="48"/>
      <c r="AC42" s="6"/>
      <c r="AD42" s="6">
        <f t="shared" si="22"/>
        <v>0</v>
      </c>
      <c r="AE42" s="6"/>
      <c r="AF42" s="6"/>
      <c r="AG42" s="6"/>
      <c r="AH42" s="47">
        <f t="shared" si="23"/>
        <v>0</v>
      </c>
      <c r="AI42" s="6"/>
      <c r="AJ42" s="48"/>
      <c r="AK42" s="6"/>
      <c r="AL42" s="6">
        <f t="shared" si="24"/>
        <v>0</v>
      </c>
      <c r="AM42" s="6"/>
      <c r="AN42" s="6"/>
      <c r="AO42" s="6"/>
      <c r="AP42" s="47">
        <f t="shared" si="25"/>
        <v>0</v>
      </c>
      <c r="AQ42" s="6"/>
      <c r="AR42" s="48"/>
      <c r="AS42" s="6"/>
      <c r="AT42" s="6">
        <f t="shared" si="26"/>
        <v>0</v>
      </c>
      <c r="AU42" s="6"/>
      <c r="AV42" s="6"/>
      <c r="AW42" s="6"/>
      <c r="AX42" s="47">
        <f t="shared" si="27"/>
        <v>0</v>
      </c>
      <c r="AY42" s="6">
        <f t="shared" si="28"/>
        <v>0</v>
      </c>
      <c r="AZ42" s="6">
        <f t="shared" si="29"/>
        <v>0</v>
      </c>
      <c r="BA42" s="6"/>
      <c r="BB42" s="6"/>
      <c r="BC42" s="6"/>
      <c r="BD42" s="6"/>
      <c r="BE42" s="6"/>
      <c r="BF42" s="6"/>
      <c r="BG42" s="6"/>
      <c r="BH42" s="6"/>
      <c r="BI42" s="6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2"/>
      <c r="CD42" s="142"/>
      <c r="CE42" s="142"/>
      <c r="CF42" s="142"/>
      <c r="CG42" s="142"/>
      <c r="CH42" s="142"/>
      <c r="CI42" s="142"/>
      <c r="CJ42" s="142"/>
      <c r="CK42" s="142"/>
      <c r="CL42" s="142"/>
      <c r="CM42" s="142"/>
      <c r="CN42" s="142"/>
      <c r="CO42" s="142"/>
      <c r="CP42" s="142"/>
      <c r="CQ42" s="142"/>
      <c r="CR42" s="142"/>
      <c r="CS42" s="142"/>
      <c r="CT42" s="142"/>
      <c r="CU42" s="142"/>
      <c r="CV42" s="142"/>
      <c r="CW42" s="142"/>
      <c r="CX42" s="142"/>
      <c r="CY42" s="142"/>
      <c r="CZ42" s="142"/>
      <c r="DA42" s="142"/>
      <c r="DB42" s="142"/>
      <c r="DC42" s="142"/>
      <c r="DD42" s="142"/>
      <c r="DE42" s="142"/>
      <c r="DF42" s="142"/>
      <c r="DG42" s="142"/>
      <c r="DH42" s="142"/>
      <c r="DI42" s="142"/>
      <c r="DJ42" s="142"/>
      <c r="DK42" s="142"/>
      <c r="DL42" s="142"/>
      <c r="DM42" s="142"/>
      <c r="DN42" s="142"/>
      <c r="DO42" s="142"/>
      <c r="DP42" s="142"/>
      <c r="DQ42" s="142"/>
      <c r="DR42" s="142"/>
      <c r="DS42" s="142"/>
      <c r="DT42" s="142"/>
      <c r="DU42" s="142"/>
      <c r="DV42" s="142"/>
      <c r="DW42" s="142"/>
      <c r="DX42" s="142"/>
      <c r="DY42" s="142"/>
      <c r="DZ42" s="142"/>
      <c r="EA42" s="142"/>
      <c r="EB42" s="142"/>
      <c r="EC42" s="142"/>
      <c r="ED42" s="142"/>
      <c r="EE42" s="142"/>
      <c r="EF42" s="142"/>
      <c r="EG42" s="142"/>
      <c r="EH42" s="142"/>
      <c r="EI42" s="142"/>
      <c r="EJ42" s="142"/>
      <c r="EK42" s="142"/>
      <c r="EL42" s="142"/>
      <c r="EM42" s="142"/>
      <c r="EN42" s="142"/>
      <c r="EO42" s="142"/>
      <c r="EP42" s="142"/>
      <c r="EQ42" s="142"/>
      <c r="ER42" s="142"/>
      <c r="ES42" s="142"/>
      <c r="ET42" s="142"/>
      <c r="EU42" s="142"/>
      <c r="EV42" s="142"/>
      <c r="EW42" s="142"/>
      <c r="EX42" s="142"/>
      <c r="EY42" s="142"/>
      <c r="EZ42" s="142"/>
      <c r="FA42" s="142"/>
      <c r="FB42" s="142"/>
      <c r="FC42" s="142"/>
      <c r="FD42" s="142"/>
      <c r="FE42" s="142"/>
      <c r="FF42" s="142"/>
      <c r="FG42" s="142"/>
      <c r="FH42" s="142"/>
      <c r="FI42" s="142"/>
      <c r="FJ42" s="142"/>
      <c r="FK42" s="142"/>
      <c r="FL42" s="142"/>
      <c r="FM42" s="142"/>
      <c r="FN42" s="142"/>
      <c r="FO42" s="142"/>
      <c r="FP42" s="142"/>
      <c r="FQ42" s="142"/>
      <c r="FR42" s="142"/>
      <c r="FS42" s="142"/>
      <c r="FT42" s="142"/>
      <c r="FU42" s="142"/>
      <c r="FV42" s="142"/>
      <c r="FW42" s="142"/>
      <c r="FX42" s="142"/>
      <c r="FY42" s="142"/>
      <c r="FZ42" s="142"/>
      <c r="GA42" s="142"/>
      <c r="GB42" s="142"/>
      <c r="GC42" s="142"/>
      <c r="GD42" s="142"/>
      <c r="GE42" s="142"/>
      <c r="GF42" s="142"/>
      <c r="GG42" s="142"/>
      <c r="GH42" s="142"/>
      <c r="GI42" s="142"/>
      <c r="GJ42" s="142"/>
      <c r="GK42" s="142"/>
      <c r="GL42" s="142"/>
      <c r="GM42" s="142"/>
    </row>
    <row r="43" spans="1:195" customFormat="1" ht="15" x14ac:dyDescent="0.25">
      <c r="A43" s="17" t="s">
        <v>82</v>
      </c>
      <c r="B43" s="47">
        <f t="shared" si="15"/>
        <v>0</v>
      </c>
      <c r="C43" s="6"/>
      <c r="D43" s="48"/>
      <c r="E43" s="6"/>
      <c r="F43" s="6">
        <f t="shared" si="16"/>
        <v>0</v>
      </c>
      <c r="G43" s="6"/>
      <c r="H43" s="6"/>
      <c r="I43" s="6"/>
      <c r="J43" s="47">
        <f t="shared" si="17"/>
        <v>0</v>
      </c>
      <c r="K43" s="6"/>
      <c r="L43" s="48"/>
      <c r="M43" s="6"/>
      <c r="N43" s="6">
        <f t="shared" si="18"/>
        <v>0</v>
      </c>
      <c r="O43" s="6"/>
      <c r="P43" s="6"/>
      <c r="Q43" s="6"/>
      <c r="R43" s="47">
        <f t="shared" si="19"/>
        <v>0</v>
      </c>
      <c r="S43" s="6"/>
      <c r="T43" s="48"/>
      <c r="U43" s="6"/>
      <c r="V43" s="6">
        <f t="shared" si="20"/>
        <v>0</v>
      </c>
      <c r="W43" s="6"/>
      <c r="X43" s="6"/>
      <c r="Y43" s="6"/>
      <c r="Z43" s="47">
        <f t="shared" si="21"/>
        <v>0</v>
      </c>
      <c r="AA43" s="6"/>
      <c r="AB43" s="48"/>
      <c r="AC43" s="6"/>
      <c r="AD43" s="6">
        <f t="shared" si="22"/>
        <v>0</v>
      </c>
      <c r="AE43" s="6"/>
      <c r="AF43" s="6"/>
      <c r="AG43" s="6"/>
      <c r="AH43" s="47">
        <f t="shared" si="23"/>
        <v>0</v>
      </c>
      <c r="AI43" s="6"/>
      <c r="AJ43" s="48"/>
      <c r="AK43" s="6"/>
      <c r="AL43" s="6">
        <f t="shared" si="24"/>
        <v>0</v>
      </c>
      <c r="AM43" s="6"/>
      <c r="AN43" s="6"/>
      <c r="AO43" s="6"/>
      <c r="AP43" s="47">
        <f t="shared" si="25"/>
        <v>0</v>
      </c>
      <c r="AQ43" s="6"/>
      <c r="AR43" s="48"/>
      <c r="AS43" s="6"/>
      <c r="AT43" s="6">
        <f t="shared" si="26"/>
        <v>0</v>
      </c>
      <c r="AU43" s="6"/>
      <c r="AV43" s="6"/>
      <c r="AW43" s="6"/>
      <c r="AX43" s="47">
        <f t="shared" si="27"/>
        <v>0</v>
      </c>
      <c r="AY43" s="6">
        <f t="shared" si="28"/>
        <v>0</v>
      </c>
      <c r="AZ43" s="6">
        <f t="shared" si="29"/>
        <v>0</v>
      </c>
      <c r="BA43" s="6"/>
      <c r="BB43" s="6"/>
      <c r="BC43" s="6"/>
      <c r="BD43" s="6"/>
      <c r="BE43" s="6"/>
      <c r="BF43" s="6"/>
      <c r="BG43" s="6"/>
      <c r="BH43" s="6"/>
      <c r="BI43" s="6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  <c r="BU43" s="142"/>
      <c r="BV43" s="142"/>
      <c r="BW43" s="142"/>
      <c r="BX43" s="142"/>
      <c r="BY43" s="142"/>
      <c r="BZ43" s="142"/>
      <c r="CA43" s="142"/>
      <c r="CB43" s="142"/>
      <c r="CC43" s="142"/>
      <c r="CD43" s="142"/>
      <c r="CE43" s="142"/>
      <c r="CF43" s="142"/>
      <c r="CG43" s="142"/>
      <c r="CH43" s="142"/>
      <c r="CI43" s="142"/>
      <c r="CJ43" s="142"/>
      <c r="CK43" s="142"/>
      <c r="CL43" s="142"/>
      <c r="CM43" s="142"/>
      <c r="CN43" s="142"/>
      <c r="CO43" s="142"/>
      <c r="CP43" s="142"/>
      <c r="CQ43" s="142"/>
      <c r="CR43" s="142"/>
      <c r="CS43" s="142"/>
      <c r="CT43" s="142"/>
      <c r="CU43" s="142"/>
      <c r="CV43" s="142"/>
      <c r="CW43" s="142"/>
      <c r="CX43" s="142"/>
      <c r="CY43" s="142"/>
      <c r="CZ43" s="142"/>
      <c r="DA43" s="142"/>
      <c r="DB43" s="142"/>
      <c r="DC43" s="142"/>
      <c r="DD43" s="142"/>
      <c r="DE43" s="142"/>
      <c r="DF43" s="142"/>
      <c r="DG43" s="142"/>
      <c r="DH43" s="142"/>
      <c r="DI43" s="142"/>
      <c r="DJ43" s="142"/>
      <c r="DK43" s="142"/>
      <c r="DL43" s="142"/>
      <c r="DM43" s="142"/>
      <c r="DN43" s="142"/>
      <c r="DO43" s="142"/>
      <c r="DP43" s="142"/>
      <c r="DQ43" s="142"/>
      <c r="DR43" s="142"/>
      <c r="DS43" s="142"/>
      <c r="DT43" s="142"/>
      <c r="DU43" s="142"/>
      <c r="DV43" s="142"/>
      <c r="DW43" s="142"/>
      <c r="DX43" s="142"/>
      <c r="DY43" s="142"/>
      <c r="DZ43" s="142"/>
      <c r="EA43" s="142"/>
      <c r="EB43" s="142"/>
      <c r="EC43" s="142"/>
      <c r="ED43" s="142"/>
      <c r="EE43" s="142"/>
      <c r="EF43" s="142"/>
      <c r="EG43" s="142"/>
      <c r="EH43" s="142"/>
      <c r="EI43" s="142"/>
      <c r="EJ43" s="142"/>
      <c r="EK43" s="142"/>
      <c r="EL43" s="142"/>
      <c r="EM43" s="142"/>
      <c r="EN43" s="142"/>
      <c r="EO43" s="142"/>
      <c r="EP43" s="142"/>
      <c r="EQ43" s="142"/>
      <c r="ER43" s="142"/>
      <c r="ES43" s="142"/>
      <c r="ET43" s="142"/>
      <c r="EU43" s="142"/>
      <c r="EV43" s="142"/>
      <c r="EW43" s="142"/>
      <c r="EX43" s="142"/>
      <c r="EY43" s="142"/>
      <c r="EZ43" s="142"/>
      <c r="FA43" s="142"/>
      <c r="FB43" s="142"/>
      <c r="FC43" s="142"/>
      <c r="FD43" s="142"/>
      <c r="FE43" s="142"/>
      <c r="FF43" s="142"/>
      <c r="FG43" s="142"/>
      <c r="FH43" s="142"/>
      <c r="FI43" s="142"/>
      <c r="FJ43" s="142"/>
      <c r="FK43" s="142"/>
      <c r="FL43" s="142"/>
      <c r="FM43" s="142"/>
      <c r="FN43" s="142"/>
      <c r="FO43" s="142"/>
      <c r="FP43" s="142"/>
      <c r="FQ43" s="142"/>
      <c r="FR43" s="142"/>
      <c r="FS43" s="142"/>
      <c r="FT43" s="142"/>
      <c r="FU43" s="142"/>
      <c r="FV43" s="142"/>
      <c r="FW43" s="142"/>
      <c r="FX43" s="142"/>
      <c r="FY43" s="142"/>
      <c r="FZ43" s="142"/>
      <c r="GA43" s="142"/>
      <c r="GB43" s="142"/>
      <c r="GC43" s="142"/>
      <c r="GD43" s="142"/>
      <c r="GE43" s="142"/>
      <c r="GF43" s="142"/>
      <c r="GG43" s="142"/>
      <c r="GH43" s="142"/>
      <c r="GI43" s="142"/>
      <c r="GJ43" s="142"/>
      <c r="GK43" s="142"/>
      <c r="GL43" s="142"/>
      <c r="GM43" s="142"/>
    </row>
    <row r="44" spans="1:195" customFormat="1" ht="15" x14ac:dyDescent="0.25">
      <c r="A44" s="17" t="s">
        <v>97</v>
      </c>
      <c r="B44" s="47">
        <f t="shared" si="15"/>
        <v>0</v>
      </c>
      <c r="C44" s="6"/>
      <c r="D44" s="48"/>
      <c r="E44" s="6"/>
      <c r="F44" s="6">
        <f t="shared" si="16"/>
        <v>0</v>
      </c>
      <c r="G44" s="6"/>
      <c r="H44" s="6"/>
      <c r="I44" s="6"/>
      <c r="J44" s="47">
        <f t="shared" si="17"/>
        <v>0</v>
      </c>
      <c r="K44" s="6"/>
      <c r="L44" s="48"/>
      <c r="M44" s="6"/>
      <c r="N44" s="6">
        <f t="shared" si="18"/>
        <v>0</v>
      </c>
      <c r="O44" s="6"/>
      <c r="P44" s="6"/>
      <c r="Q44" s="6"/>
      <c r="R44" s="47">
        <f t="shared" si="19"/>
        <v>0</v>
      </c>
      <c r="S44" s="6"/>
      <c r="T44" s="48"/>
      <c r="U44" s="6"/>
      <c r="V44" s="6">
        <f t="shared" si="20"/>
        <v>0</v>
      </c>
      <c r="W44" s="6"/>
      <c r="X44" s="6"/>
      <c r="Y44" s="6"/>
      <c r="Z44" s="47">
        <f t="shared" si="21"/>
        <v>0</v>
      </c>
      <c r="AA44" s="6"/>
      <c r="AB44" s="48"/>
      <c r="AC44" s="6"/>
      <c r="AD44" s="6">
        <f t="shared" si="22"/>
        <v>0</v>
      </c>
      <c r="AE44" s="6"/>
      <c r="AF44" s="6"/>
      <c r="AG44" s="6"/>
      <c r="AH44" s="47">
        <f t="shared" si="23"/>
        <v>0</v>
      </c>
      <c r="AI44" s="6"/>
      <c r="AJ44" s="48"/>
      <c r="AK44" s="6"/>
      <c r="AL44" s="6">
        <f t="shared" si="24"/>
        <v>0</v>
      </c>
      <c r="AM44" s="6"/>
      <c r="AN44" s="6"/>
      <c r="AO44" s="6"/>
      <c r="AP44" s="47">
        <f t="shared" si="25"/>
        <v>0</v>
      </c>
      <c r="AQ44" s="6"/>
      <c r="AR44" s="48"/>
      <c r="AS44" s="6"/>
      <c r="AT44" s="6">
        <f t="shared" si="26"/>
        <v>0</v>
      </c>
      <c r="AU44" s="6"/>
      <c r="AV44" s="6"/>
      <c r="AW44" s="6"/>
      <c r="AX44" s="47">
        <f t="shared" si="27"/>
        <v>0</v>
      </c>
      <c r="AY44" s="6">
        <f t="shared" si="28"/>
        <v>0</v>
      </c>
      <c r="AZ44" s="6">
        <f t="shared" si="29"/>
        <v>0</v>
      </c>
      <c r="BA44" s="6"/>
      <c r="BB44" s="6"/>
      <c r="BC44" s="6"/>
      <c r="BD44" s="6"/>
      <c r="BE44" s="6"/>
      <c r="BF44" s="6"/>
      <c r="BG44" s="6"/>
      <c r="BH44" s="6"/>
      <c r="BI44" s="6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  <c r="BU44" s="142"/>
      <c r="BV44" s="142"/>
      <c r="BW44" s="142"/>
      <c r="BX44" s="142"/>
      <c r="BY44" s="142"/>
      <c r="BZ44" s="142"/>
      <c r="CA44" s="142"/>
      <c r="CB44" s="142"/>
      <c r="CC44" s="142"/>
      <c r="CD44" s="142"/>
      <c r="CE44" s="142"/>
      <c r="CF44" s="142"/>
      <c r="CG44" s="142"/>
      <c r="CH44" s="142"/>
      <c r="CI44" s="142"/>
      <c r="CJ44" s="142"/>
      <c r="CK44" s="142"/>
      <c r="CL44" s="142"/>
      <c r="CM44" s="142"/>
      <c r="CN44" s="142"/>
      <c r="CO44" s="142"/>
      <c r="CP44" s="142"/>
      <c r="CQ44" s="142"/>
      <c r="CR44" s="142"/>
      <c r="CS44" s="142"/>
      <c r="CT44" s="142"/>
      <c r="CU44" s="142"/>
      <c r="CV44" s="142"/>
      <c r="CW44" s="142"/>
      <c r="CX44" s="142"/>
      <c r="CY44" s="142"/>
      <c r="CZ44" s="142"/>
      <c r="DA44" s="142"/>
      <c r="DB44" s="142"/>
      <c r="DC44" s="142"/>
      <c r="DD44" s="142"/>
      <c r="DE44" s="142"/>
      <c r="DF44" s="142"/>
      <c r="DG44" s="142"/>
      <c r="DH44" s="142"/>
      <c r="DI44" s="142"/>
      <c r="DJ44" s="142"/>
      <c r="DK44" s="142"/>
      <c r="DL44" s="142"/>
      <c r="DM44" s="142"/>
      <c r="DN44" s="142"/>
      <c r="DO44" s="142"/>
      <c r="DP44" s="142"/>
      <c r="DQ44" s="142"/>
      <c r="DR44" s="142"/>
      <c r="DS44" s="142"/>
      <c r="DT44" s="142"/>
      <c r="DU44" s="142"/>
      <c r="DV44" s="142"/>
      <c r="DW44" s="142"/>
      <c r="DX44" s="142"/>
      <c r="DY44" s="142"/>
      <c r="DZ44" s="142"/>
      <c r="EA44" s="142"/>
      <c r="EB44" s="142"/>
      <c r="EC44" s="142"/>
      <c r="ED44" s="142"/>
      <c r="EE44" s="142"/>
      <c r="EF44" s="142"/>
      <c r="EG44" s="142"/>
      <c r="EH44" s="142"/>
      <c r="EI44" s="142"/>
      <c r="EJ44" s="142"/>
      <c r="EK44" s="142"/>
      <c r="EL44" s="142"/>
      <c r="EM44" s="142"/>
      <c r="EN44" s="142"/>
      <c r="EO44" s="142"/>
      <c r="EP44" s="142"/>
      <c r="EQ44" s="142"/>
      <c r="ER44" s="142"/>
      <c r="ES44" s="142"/>
      <c r="ET44" s="142"/>
      <c r="EU44" s="142"/>
      <c r="EV44" s="142"/>
      <c r="EW44" s="142"/>
      <c r="EX44" s="142"/>
      <c r="EY44" s="142"/>
      <c r="EZ44" s="142"/>
      <c r="FA44" s="142"/>
      <c r="FB44" s="142"/>
      <c r="FC44" s="142"/>
      <c r="FD44" s="142"/>
      <c r="FE44" s="142"/>
      <c r="FF44" s="142"/>
      <c r="FG44" s="142"/>
      <c r="FH44" s="142"/>
      <c r="FI44" s="142"/>
      <c r="FJ44" s="142"/>
      <c r="FK44" s="142"/>
      <c r="FL44" s="142"/>
      <c r="FM44" s="142"/>
      <c r="FN44" s="142"/>
      <c r="FO44" s="142"/>
      <c r="FP44" s="142"/>
      <c r="FQ44" s="142"/>
      <c r="FR44" s="142"/>
      <c r="FS44" s="142"/>
      <c r="FT44" s="142"/>
      <c r="FU44" s="142"/>
      <c r="FV44" s="142"/>
      <c r="FW44" s="142"/>
      <c r="FX44" s="142"/>
      <c r="FY44" s="142"/>
      <c r="FZ44" s="142"/>
      <c r="GA44" s="142"/>
      <c r="GB44" s="142"/>
      <c r="GC44" s="142"/>
      <c r="GD44" s="142"/>
      <c r="GE44" s="142"/>
      <c r="GF44" s="142"/>
      <c r="GG44" s="142"/>
      <c r="GH44" s="142"/>
      <c r="GI44" s="142"/>
      <c r="GJ44" s="142"/>
      <c r="GK44" s="142"/>
      <c r="GL44" s="142"/>
      <c r="GM44" s="142"/>
    </row>
    <row r="45" spans="1:195" customFormat="1" ht="15" x14ac:dyDescent="0.25">
      <c r="A45" s="17" t="s">
        <v>81</v>
      </c>
      <c r="B45" s="47">
        <f t="shared" si="15"/>
        <v>0</v>
      </c>
      <c r="C45" s="6"/>
      <c r="D45" s="48"/>
      <c r="E45" s="6"/>
      <c r="F45" s="6">
        <f t="shared" si="16"/>
        <v>0</v>
      </c>
      <c r="G45" s="6"/>
      <c r="H45" s="6"/>
      <c r="I45" s="6"/>
      <c r="J45" s="47">
        <f t="shared" si="17"/>
        <v>0</v>
      </c>
      <c r="K45" s="6"/>
      <c r="L45" s="48"/>
      <c r="M45" s="6"/>
      <c r="N45" s="6">
        <f t="shared" si="18"/>
        <v>0</v>
      </c>
      <c r="O45" s="6"/>
      <c r="P45" s="6"/>
      <c r="Q45" s="6"/>
      <c r="R45" s="47">
        <f t="shared" si="19"/>
        <v>0</v>
      </c>
      <c r="S45" s="6"/>
      <c r="T45" s="48"/>
      <c r="U45" s="6"/>
      <c r="V45" s="6">
        <f t="shared" si="20"/>
        <v>0</v>
      </c>
      <c r="W45" s="6"/>
      <c r="X45" s="6"/>
      <c r="Y45" s="6"/>
      <c r="Z45" s="47">
        <f t="shared" si="21"/>
        <v>0</v>
      </c>
      <c r="AA45" s="6"/>
      <c r="AB45" s="48"/>
      <c r="AC45" s="6"/>
      <c r="AD45" s="6">
        <f t="shared" si="22"/>
        <v>0</v>
      </c>
      <c r="AE45" s="6"/>
      <c r="AF45" s="6"/>
      <c r="AG45" s="6"/>
      <c r="AH45" s="47">
        <f t="shared" si="23"/>
        <v>0</v>
      </c>
      <c r="AI45" s="6"/>
      <c r="AJ45" s="48"/>
      <c r="AK45" s="6"/>
      <c r="AL45" s="6">
        <f t="shared" si="24"/>
        <v>0</v>
      </c>
      <c r="AM45" s="6"/>
      <c r="AN45" s="6"/>
      <c r="AO45" s="6"/>
      <c r="AP45" s="47">
        <f t="shared" si="25"/>
        <v>0</v>
      </c>
      <c r="AQ45" s="6"/>
      <c r="AR45" s="48"/>
      <c r="AS45" s="6"/>
      <c r="AT45" s="6">
        <f t="shared" si="26"/>
        <v>0</v>
      </c>
      <c r="AU45" s="6"/>
      <c r="AV45" s="6"/>
      <c r="AW45" s="6"/>
      <c r="AX45" s="47">
        <f t="shared" si="27"/>
        <v>0</v>
      </c>
      <c r="AY45" s="6">
        <f t="shared" si="28"/>
        <v>0</v>
      </c>
      <c r="AZ45" s="6">
        <f t="shared" si="29"/>
        <v>0</v>
      </c>
      <c r="BA45" s="6"/>
      <c r="BB45" s="6"/>
      <c r="BC45" s="6"/>
      <c r="BD45" s="6"/>
      <c r="BE45" s="6"/>
      <c r="BF45" s="6"/>
      <c r="BG45" s="6"/>
      <c r="BH45" s="6"/>
      <c r="BI45" s="6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  <c r="BU45" s="142"/>
      <c r="BV45" s="142"/>
      <c r="BW45" s="142"/>
      <c r="BX45" s="142"/>
      <c r="BY45" s="142"/>
      <c r="BZ45" s="142"/>
      <c r="CA45" s="142"/>
      <c r="CB45" s="142"/>
      <c r="CC45" s="142"/>
      <c r="CD45" s="142"/>
      <c r="CE45" s="142"/>
      <c r="CF45" s="142"/>
      <c r="CG45" s="142"/>
      <c r="CH45" s="142"/>
      <c r="CI45" s="142"/>
      <c r="CJ45" s="142"/>
      <c r="CK45" s="142"/>
      <c r="CL45" s="142"/>
      <c r="CM45" s="142"/>
      <c r="CN45" s="142"/>
      <c r="CO45" s="142"/>
      <c r="CP45" s="142"/>
      <c r="CQ45" s="142"/>
      <c r="CR45" s="142"/>
      <c r="CS45" s="142"/>
      <c r="CT45" s="142"/>
      <c r="CU45" s="142"/>
      <c r="CV45" s="142"/>
      <c r="CW45" s="142"/>
      <c r="CX45" s="142"/>
      <c r="CY45" s="142"/>
      <c r="CZ45" s="142"/>
      <c r="DA45" s="142"/>
      <c r="DB45" s="142"/>
      <c r="DC45" s="142"/>
      <c r="DD45" s="142"/>
      <c r="DE45" s="142"/>
      <c r="DF45" s="142"/>
      <c r="DG45" s="142"/>
      <c r="DH45" s="142"/>
      <c r="DI45" s="142"/>
      <c r="DJ45" s="142"/>
      <c r="DK45" s="142"/>
      <c r="DL45" s="142"/>
      <c r="DM45" s="142"/>
      <c r="DN45" s="142"/>
      <c r="DO45" s="142"/>
      <c r="DP45" s="142"/>
      <c r="DQ45" s="142"/>
      <c r="DR45" s="142"/>
      <c r="DS45" s="142"/>
      <c r="DT45" s="142"/>
      <c r="DU45" s="142"/>
      <c r="DV45" s="142"/>
      <c r="DW45" s="142"/>
      <c r="DX45" s="142"/>
      <c r="DY45" s="142"/>
      <c r="DZ45" s="142"/>
      <c r="EA45" s="142"/>
      <c r="EB45" s="142"/>
      <c r="EC45" s="142"/>
      <c r="ED45" s="142"/>
      <c r="EE45" s="142"/>
      <c r="EF45" s="142"/>
      <c r="EG45" s="142"/>
      <c r="EH45" s="142"/>
      <c r="EI45" s="142"/>
      <c r="EJ45" s="142"/>
      <c r="EK45" s="142"/>
      <c r="EL45" s="142"/>
      <c r="EM45" s="142"/>
      <c r="EN45" s="142"/>
      <c r="EO45" s="142"/>
      <c r="EP45" s="142"/>
      <c r="EQ45" s="142"/>
      <c r="ER45" s="142"/>
      <c r="ES45" s="142"/>
      <c r="ET45" s="142"/>
      <c r="EU45" s="142"/>
      <c r="EV45" s="142"/>
      <c r="EW45" s="142"/>
      <c r="EX45" s="142"/>
      <c r="EY45" s="142"/>
      <c r="EZ45" s="142"/>
      <c r="FA45" s="142"/>
      <c r="FB45" s="142"/>
      <c r="FC45" s="142"/>
      <c r="FD45" s="142"/>
      <c r="FE45" s="142"/>
      <c r="FF45" s="142"/>
      <c r="FG45" s="142"/>
      <c r="FH45" s="142"/>
      <c r="FI45" s="142"/>
      <c r="FJ45" s="142"/>
      <c r="FK45" s="142"/>
      <c r="FL45" s="142"/>
      <c r="FM45" s="142"/>
      <c r="FN45" s="142"/>
      <c r="FO45" s="142"/>
      <c r="FP45" s="142"/>
      <c r="FQ45" s="142"/>
      <c r="FR45" s="142"/>
      <c r="FS45" s="142"/>
      <c r="FT45" s="142"/>
      <c r="FU45" s="142"/>
      <c r="FV45" s="142"/>
      <c r="FW45" s="142"/>
      <c r="FX45" s="142"/>
      <c r="FY45" s="142"/>
      <c r="FZ45" s="142"/>
      <c r="GA45" s="142"/>
      <c r="GB45" s="142"/>
      <c r="GC45" s="142"/>
      <c r="GD45" s="142"/>
      <c r="GE45" s="142"/>
      <c r="GF45" s="142"/>
      <c r="GG45" s="142"/>
      <c r="GH45" s="142"/>
      <c r="GI45" s="142"/>
      <c r="GJ45" s="142"/>
      <c r="GK45" s="142"/>
      <c r="GL45" s="142"/>
      <c r="GM45" s="142"/>
    </row>
    <row r="46" spans="1:195" customFormat="1" ht="15" x14ac:dyDescent="0.25">
      <c r="A46" s="17" t="s">
        <v>82</v>
      </c>
      <c r="B46" s="47">
        <f t="shared" si="15"/>
        <v>0</v>
      </c>
      <c r="C46" s="6"/>
      <c r="D46" s="48"/>
      <c r="E46" s="6"/>
      <c r="F46" s="6">
        <f t="shared" si="16"/>
        <v>0</v>
      </c>
      <c r="G46" s="6"/>
      <c r="H46" s="6"/>
      <c r="I46" s="6"/>
      <c r="J46" s="47">
        <f t="shared" si="17"/>
        <v>0</v>
      </c>
      <c r="K46" s="6"/>
      <c r="L46" s="48"/>
      <c r="M46" s="6"/>
      <c r="N46" s="6">
        <f t="shared" si="18"/>
        <v>0</v>
      </c>
      <c r="O46" s="6"/>
      <c r="P46" s="6"/>
      <c r="Q46" s="6"/>
      <c r="R46" s="47">
        <f t="shared" si="19"/>
        <v>0</v>
      </c>
      <c r="S46" s="6"/>
      <c r="T46" s="48"/>
      <c r="U46" s="6"/>
      <c r="V46" s="6">
        <f t="shared" si="20"/>
        <v>0</v>
      </c>
      <c r="W46" s="6"/>
      <c r="X46" s="6"/>
      <c r="Y46" s="6"/>
      <c r="Z46" s="47">
        <f t="shared" si="21"/>
        <v>0</v>
      </c>
      <c r="AA46" s="6"/>
      <c r="AB46" s="48"/>
      <c r="AC46" s="6"/>
      <c r="AD46" s="6">
        <f t="shared" si="22"/>
        <v>0</v>
      </c>
      <c r="AE46" s="6"/>
      <c r="AF46" s="6"/>
      <c r="AG46" s="6"/>
      <c r="AH46" s="47">
        <f t="shared" si="23"/>
        <v>0</v>
      </c>
      <c r="AI46" s="6"/>
      <c r="AJ46" s="48"/>
      <c r="AK46" s="6"/>
      <c r="AL46" s="6">
        <f t="shared" si="24"/>
        <v>0</v>
      </c>
      <c r="AM46" s="6"/>
      <c r="AN46" s="6"/>
      <c r="AO46" s="6"/>
      <c r="AP46" s="47">
        <f t="shared" si="25"/>
        <v>0</v>
      </c>
      <c r="AQ46" s="6"/>
      <c r="AR46" s="48"/>
      <c r="AS46" s="6"/>
      <c r="AT46" s="6">
        <f t="shared" si="26"/>
        <v>0</v>
      </c>
      <c r="AU46" s="6"/>
      <c r="AV46" s="6"/>
      <c r="AW46" s="6"/>
      <c r="AX46" s="47">
        <f t="shared" si="27"/>
        <v>0</v>
      </c>
      <c r="AY46" s="6">
        <f t="shared" si="28"/>
        <v>0</v>
      </c>
      <c r="AZ46" s="6">
        <f t="shared" si="29"/>
        <v>0</v>
      </c>
      <c r="BA46" s="6"/>
      <c r="BB46" s="6"/>
      <c r="BC46" s="6"/>
      <c r="BD46" s="6"/>
      <c r="BE46" s="6"/>
      <c r="BF46" s="6"/>
      <c r="BG46" s="6"/>
      <c r="BH46" s="6"/>
      <c r="BI46" s="6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  <c r="CD46" s="142"/>
      <c r="CE46" s="142"/>
      <c r="CF46" s="142"/>
      <c r="CG46" s="142"/>
      <c r="CH46" s="142"/>
      <c r="CI46" s="142"/>
      <c r="CJ46" s="142"/>
      <c r="CK46" s="142"/>
      <c r="CL46" s="142"/>
      <c r="CM46" s="142"/>
      <c r="CN46" s="142"/>
      <c r="CO46" s="142"/>
      <c r="CP46" s="142"/>
      <c r="CQ46" s="142"/>
      <c r="CR46" s="142"/>
      <c r="CS46" s="142"/>
      <c r="CT46" s="142"/>
      <c r="CU46" s="142"/>
      <c r="CV46" s="142"/>
      <c r="CW46" s="142"/>
      <c r="CX46" s="142"/>
      <c r="CY46" s="142"/>
      <c r="CZ46" s="142"/>
      <c r="DA46" s="142"/>
      <c r="DB46" s="142"/>
      <c r="DC46" s="142"/>
      <c r="DD46" s="142"/>
      <c r="DE46" s="142"/>
      <c r="DF46" s="142"/>
      <c r="DG46" s="142"/>
      <c r="DH46" s="142"/>
      <c r="DI46" s="142"/>
      <c r="DJ46" s="142"/>
      <c r="DK46" s="142"/>
      <c r="DL46" s="142"/>
      <c r="DM46" s="142"/>
      <c r="DN46" s="142"/>
      <c r="DO46" s="142"/>
      <c r="DP46" s="142"/>
      <c r="DQ46" s="142"/>
      <c r="DR46" s="142"/>
      <c r="DS46" s="142"/>
      <c r="DT46" s="142"/>
      <c r="DU46" s="142"/>
      <c r="DV46" s="142"/>
      <c r="DW46" s="142"/>
      <c r="DX46" s="142"/>
      <c r="DY46" s="142"/>
      <c r="DZ46" s="142"/>
      <c r="EA46" s="142"/>
      <c r="EB46" s="142"/>
      <c r="EC46" s="142"/>
      <c r="ED46" s="142"/>
      <c r="EE46" s="142"/>
      <c r="EF46" s="142"/>
      <c r="EG46" s="142"/>
      <c r="EH46" s="142"/>
      <c r="EI46" s="142"/>
      <c r="EJ46" s="142"/>
      <c r="EK46" s="142"/>
      <c r="EL46" s="142"/>
      <c r="EM46" s="142"/>
      <c r="EN46" s="142"/>
      <c r="EO46" s="142"/>
      <c r="EP46" s="142"/>
      <c r="EQ46" s="142"/>
      <c r="ER46" s="142"/>
      <c r="ES46" s="142"/>
      <c r="ET46" s="142"/>
      <c r="EU46" s="142"/>
      <c r="EV46" s="142"/>
      <c r="EW46" s="142"/>
      <c r="EX46" s="142"/>
      <c r="EY46" s="142"/>
      <c r="EZ46" s="142"/>
      <c r="FA46" s="142"/>
      <c r="FB46" s="142"/>
      <c r="FC46" s="142"/>
      <c r="FD46" s="142"/>
      <c r="FE46" s="142"/>
      <c r="FF46" s="142"/>
      <c r="FG46" s="142"/>
      <c r="FH46" s="142"/>
      <c r="FI46" s="142"/>
      <c r="FJ46" s="142"/>
      <c r="FK46" s="142"/>
      <c r="FL46" s="142"/>
      <c r="FM46" s="142"/>
      <c r="FN46" s="142"/>
      <c r="FO46" s="142"/>
      <c r="FP46" s="142"/>
      <c r="FQ46" s="142"/>
      <c r="FR46" s="142"/>
      <c r="FS46" s="142"/>
      <c r="FT46" s="142"/>
      <c r="FU46" s="142"/>
      <c r="FV46" s="142"/>
      <c r="FW46" s="142"/>
      <c r="FX46" s="142"/>
      <c r="FY46" s="142"/>
      <c r="FZ46" s="142"/>
      <c r="GA46" s="142"/>
      <c r="GB46" s="142"/>
      <c r="GC46" s="142"/>
      <c r="GD46" s="142"/>
      <c r="GE46" s="142"/>
      <c r="GF46" s="142"/>
      <c r="GG46" s="142"/>
      <c r="GH46" s="142"/>
      <c r="GI46" s="142"/>
      <c r="GJ46" s="142"/>
      <c r="GK46" s="142"/>
      <c r="GL46" s="142"/>
      <c r="GM46" s="142"/>
    </row>
    <row r="47" spans="1:195" customFormat="1" ht="15" x14ac:dyDescent="0.25">
      <c r="A47" s="17" t="s">
        <v>98</v>
      </c>
      <c r="B47" s="47">
        <f t="shared" si="15"/>
        <v>0</v>
      </c>
      <c r="C47" s="6"/>
      <c r="D47" s="48"/>
      <c r="E47" s="6"/>
      <c r="F47" s="6">
        <f t="shared" si="16"/>
        <v>0</v>
      </c>
      <c r="G47" s="6"/>
      <c r="H47" s="6"/>
      <c r="I47" s="6"/>
      <c r="J47" s="47">
        <f t="shared" si="17"/>
        <v>0</v>
      </c>
      <c r="K47" s="6"/>
      <c r="L47" s="48"/>
      <c r="M47" s="6"/>
      <c r="N47" s="6">
        <f t="shared" si="18"/>
        <v>0</v>
      </c>
      <c r="O47" s="6"/>
      <c r="P47" s="6"/>
      <c r="Q47" s="6"/>
      <c r="R47" s="47">
        <f t="shared" si="19"/>
        <v>0</v>
      </c>
      <c r="S47" s="6"/>
      <c r="T47" s="48"/>
      <c r="U47" s="6"/>
      <c r="V47" s="6">
        <f t="shared" si="20"/>
        <v>0</v>
      </c>
      <c r="W47" s="6"/>
      <c r="X47" s="6"/>
      <c r="Y47" s="6"/>
      <c r="Z47" s="47">
        <f t="shared" si="21"/>
        <v>0</v>
      </c>
      <c r="AA47" s="6"/>
      <c r="AB47" s="48"/>
      <c r="AC47" s="6"/>
      <c r="AD47" s="6">
        <f t="shared" si="22"/>
        <v>0</v>
      </c>
      <c r="AE47" s="6"/>
      <c r="AF47" s="6"/>
      <c r="AG47" s="6"/>
      <c r="AH47" s="47">
        <f t="shared" si="23"/>
        <v>0</v>
      </c>
      <c r="AI47" s="6"/>
      <c r="AJ47" s="48"/>
      <c r="AK47" s="6"/>
      <c r="AL47" s="6">
        <f t="shared" si="24"/>
        <v>0</v>
      </c>
      <c r="AM47" s="6"/>
      <c r="AN47" s="6"/>
      <c r="AO47" s="6"/>
      <c r="AP47" s="47">
        <f t="shared" si="25"/>
        <v>0</v>
      </c>
      <c r="AQ47" s="6"/>
      <c r="AR47" s="48"/>
      <c r="AS47" s="6"/>
      <c r="AT47" s="6">
        <f t="shared" si="26"/>
        <v>0</v>
      </c>
      <c r="AU47" s="6"/>
      <c r="AV47" s="6"/>
      <c r="AW47" s="6"/>
      <c r="AX47" s="47">
        <f t="shared" si="27"/>
        <v>0</v>
      </c>
      <c r="AY47" s="6">
        <f t="shared" si="28"/>
        <v>0</v>
      </c>
      <c r="AZ47" s="6">
        <f t="shared" si="29"/>
        <v>0</v>
      </c>
      <c r="BA47" s="6"/>
      <c r="BB47" s="6"/>
      <c r="BC47" s="6"/>
      <c r="BD47" s="6"/>
      <c r="BE47" s="6"/>
      <c r="BF47" s="6"/>
      <c r="BG47" s="6"/>
      <c r="BH47" s="6"/>
      <c r="BI47" s="6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/>
      <c r="BU47" s="142"/>
      <c r="BV47" s="142"/>
      <c r="BW47" s="142"/>
      <c r="BX47" s="142"/>
      <c r="BY47" s="142"/>
      <c r="BZ47" s="142"/>
      <c r="CA47" s="142"/>
      <c r="CB47" s="142"/>
      <c r="CC47" s="142"/>
      <c r="CD47" s="142"/>
      <c r="CE47" s="142"/>
      <c r="CF47" s="142"/>
      <c r="CG47" s="142"/>
      <c r="CH47" s="142"/>
      <c r="CI47" s="142"/>
      <c r="CJ47" s="142"/>
      <c r="CK47" s="142"/>
      <c r="CL47" s="142"/>
      <c r="CM47" s="142"/>
      <c r="CN47" s="142"/>
      <c r="CO47" s="142"/>
      <c r="CP47" s="142"/>
      <c r="CQ47" s="142"/>
      <c r="CR47" s="142"/>
      <c r="CS47" s="142"/>
      <c r="CT47" s="142"/>
      <c r="CU47" s="142"/>
      <c r="CV47" s="142"/>
      <c r="CW47" s="142"/>
      <c r="CX47" s="142"/>
      <c r="CY47" s="142"/>
      <c r="CZ47" s="142"/>
      <c r="DA47" s="142"/>
      <c r="DB47" s="142"/>
      <c r="DC47" s="142"/>
      <c r="DD47" s="142"/>
      <c r="DE47" s="142"/>
      <c r="DF47" s="142"/>
      <c r="DG47" s="142"/>
      <c r="DH47" s="142"/>
      <c r="DI47" s="142"/>
      <c r="DJ47" s="142"/>
      <c r="DK47" s="142"/>
      <c r="DL47" s="142"/>
      <c r="DM47" s="142"/>
      <c r="DN47" s="142"/>
      <c r="DO47" s="142"/>
      <c r="DP47" s="142"/>
      <c r="DQ47" s="142"/>
      <c r="DR47" s="142"/>
      <c r="DS47" s="142"/>
      <c r="DT47" s="142"/>
      <c r="DU47" s="142"/>
      <c r="DV47" s="142"/>
      <c r="DW47" s="142"/>
      <c r="DX47" s="142"/>
      <c r="DY47" s="142"/>
      <c r="DZ47" s="142"/>
      <c r="EA47" s="142"/>
      <c r="EB47" s="142"/>
      <c r="EC47" s="142"/>
      <c r="ED47" s="142"/>
      <c r="EE47" s="142"/>
      <c r="EF47" s="142"/>
      <c r="EG47" s="142"/>
      <c r="EH47" s="142"/>
      <c r="EI47" s="142"/>
      <c r="EJ47" s="142"/>
      <c r="EK47" s="142"/>
      <c r="EL47" s="142"/>
      <c r="EM47" s="142"/>
      <c r="EN47" s="142"/>
      <c r="EO47" s="142"/>
      <c r="EP47" s="142"/>
      <c r="EQ47" s="142"/>
      <c r="ER47" s="142"/>
      <c r="ES47" s="142"/>
      <c r="ET47" s="142"/>
      <c r="EU47" s="142"/>
      <c r="EV47" s="142"/>
      <c r="EW47" s="142"/>
      <c r="EX47" s="142"/>
      <c r="EY47" s="142"/>
      <c r="EZ47" s="142"/>
      <c r="FA47" s="142"/>
      <c r="FB47" s="142"/>
      <c r="FC47" s="142"/>
      <c r="FD47" s="142"/>
      <c r="FE47" s="142"/>
      <c r="FF47" s="142"/>
      <c r="FG47" s="142"/>
      <c r="FH47" s="142"/>
      <c r="FI47" s="142"/>
      <c r="FJ47" s="142"/>
      <c r="FK47" s="142"/>
      <c r="FL47" s="142"/>
      <c r="FM47" s="142"/>
      <c r="FN47" s="142"/>
      <c r="FO47" s="142"/>
      <c r="FP47" s="142"/>
      <c r="FQ47" s="142"/>
      <c r="FR47" s="142"/>
      <c r="FS47" s="142"/>
      <c r="FT47" s="142"/>
      <c r="FU47" s="142"/>
      <c r="FV47" s="142"/>
      <c r="FW47" s="142"/>
      <c r="FX47" s="142"/>
      <c r="FY47" s="142"/>
      <c r="FZ47" s="142"/>
      <c r="GA47" s="142"/>
      <c r="GB47" s="142"/>
      <c r="GC47" s="142"/>
      <c r="GD47" s="142"/>
      <c r="GE47" s="142"/>
      <c r="GF47" s="142"/>
      <c r="GG47" s="142"/>
      <c r="GH47" s="142"/>
      <c r="GI47" s="142"/>
      <c r="GJ47" s="142"/>
      <c r="GK47" s="142"/>
      <c r="GL47" s="142"/>
      <c r="GM47" s="142"/>
    </row>
    <row r="48" spans="1:195" customFormat="1" ht="15" x14ac:dyDescent="0.25">
      <c r="A48" s="17" t="s">
        <v>81</v>
      </c>
      <c r="B48" s="47">
        <f t="shared" si="15"/>
        <v>0</v>
      </c>
      <c r="C48" s="6"/>
      <c r="D48" s="48"/>
      <c r="E48" s="6"/>
      <c r="F48" s="6">
        <f t="shared" si="16"/>
        <v>0</v>
      </c>
      <c r="G48" s="6"/>
      <c r="H48" s="6"/>
      <c r="I48" s="6"/>
      <c r="J48" s="47">
        <f t="shared" si="17"/>
        <v>0</v>
      </c>
      <c r="K48" s="6"/>
      <c r="L48" s="48"/>
      <c r="M48" s="6"/>
      <c r="N48" s="6">
        <f t="shared" si="18"/>
        <v>0</v>
      </c>
      <c r="O48" s="6"/>
      <c r="P48" s="6"/>
      <c r="Q48" s="6"/>
      <c r="R48" s="47">
        <f t="shared" si="19"/>
        <v>0</v>
      </c>
      <c r="S48" s="6"/>
      <c r="T48" s="48"/>
      <c r="U48" s="6"/>
      <c r="V48" s="6">
        <f t="shared" si="20"/>
        <v>0</v>
      </c>
      <c r="W48" s="6"/>
      <c r="X48" s="6"/>
      <c r="Y48" s="6"/>
      <c r="Z48" s="47">
        <f t="shared" si="21"/>
        <v>0</v>
      </c>
      <c r="AA48" s="6"/>
      <c r="AB48" s="48"/>
      <c r="AC48" s="6"/>
      <c r="AD48" s="6">
        <f t="shared" si="22"/>
        <v>0</v>
      </c>
      <c r="AE48" s="6"/>
      <c r="AF48" s="6"/>
      <c r="AG48" s="6"/>
      <c r="AH48" s="47">
        <f t="shared" si="23"/>
        <v>0</v>
      </c>
      <c r="AI48" s="6"/>
      <c r="AJ48" s="48"/>
      <c r="AK48" s="6"/>
      <c r="AL48" s="6">
        <f t="shared" si="24"/>
        <v>0</v>
      </c>
      <c r="AM48" s="6"/>
      <c r="AN48" s="6"/>
      <c r="AO48" s="6"/>
      <c r="AP48" s="47">
        <f t="shared" si="25"/>
        <v>0</v>
      </c>
      <c r="AQ48" s="6"/>
      <c r="AR48" s="48"/>
      <c r="AS48" s="6"/>
      <c r="AT48" s="6">
        <f t="shared" si="26"/>
        <v>0</v>
      </c>
      <c r="AU48" s="6"/>
      <c r="AV48" s="6"/>
      <c r="AW48" s="6"/>
      <c r="AX48" s="47">
        <f t="shared" si="27"/>
        <v>0</v>
      </c>
      <c r="AY48" s="6">
        <f t="shared" si="28"/>
        <v>0</v>
      </c>
      <c r="AZ48" s="6">
        <f t="shared" si="29"/>
        <v>0</v>
      </c>
      <c r="BA48" s="6"/>
      <c r="BB48" s="6"/>
      <c r="BC48" s="6"/>
      <c r="BD48" s="6"/>
      <c r="BE48" s="6"/>
      <c r="BF48" s="6"/>
      <c r="BG48" s="6"/>
      <c r="BH48" s="6"/>
      <c r="BI48" s="6"/>
      <c r="BJ48" s="142"/>
      <c r="BK48" s="142"/>
      <c r="BL48" s="142"/>
      <c r="BM48" s="142"/>
      <c r="BN48" s="142"/>
      <c r="BO48" s="142"/>
      <c r="BP48" s="142"/>
      <c r="BQ48" s="142"/>
      <c r="BR48" s="142"/>
      <c r="BS48" s="142"/>
      <c r="BT48" s="142"/>
      <c r="BU48" s="142"/>
      <c r="BV48" s="142"/>
      <c r="BW48" s="142"/>
      <c r="BX48" s="142"/>
      <c r="BY48" s="142"/>
      <c r="BZ48" s="142"/>
      <c r="CA48" s="142"/>
      <c r="CB48" s="142"/>
      <c r="CC48" s="142"/>
      <c r="CD48" s="142"/>
      <c r="CE48" s="142"/>
      <c r="CF48" s="142"/>
      <c r="CG48" s="142"/>
      <c r="CH48" s="142"/>
      <c r="CI48" s="142"/>
      <c r="CJ48" s="142"/>
      <c r="CK48" s="142"/>
      <c r="CL48" s="142"/>
      <c r="CM48" s="142"/>
      <c r="CN48" s="142"/>
      <c r="CO48" s="142"/>
      <c r="CP48" s="142"/>
      <c r="CQ48" s="142"/>
      <c r="CR48" s="142"/>
      <c r="CS48" s="142"/>
      <c r="CT48" s="142"/>
      <c r="CU48" s="142"/>
      <c r="CV48" s="142"/>
      <c r="CW48" s="142"/>
      <c r="CX48" s="142"/>
      <c r="CY48" s="142"/>
      <c r="CZ48" s="142"/>
      <c r="DA48" s="142"/>
      <c r="DB48" s="142"/>
      <c r="DC48" s="142"/>
      <c r="DD48" s="142"/>
      <c r="DE48" s="142"/>
      <c r="DF48" s="142"/>
      <c r="DG48" s="142"/>
      <c r="DH48" s="142"/>
      <c r="DI48" s="142"/>
      <c r="DJ48" s="142"/>
      <c r="DK48" s="142"/>
      <c r="DL48" s="142"/>
      <c r="DM48" s="142"/>
      <c r="DN48" s="142"/>
      <c r="DO48" s="142"/>
      <c r="DP48" s="142"/>
      <c r="DQ48" s="142"/>
      <c r="DR48" s="142"/>
      <c r="DS48" s="142"/>
      <c r="DT48" s="142"/>
      <c r="DU48" s="142"/>
      <c r="DV48" s="142"/>
      <c r="DW48" s="142"/>
      <c r="DX48" s="142"/>
      <c r="DY48" s="142"/>
      <c r="DZ48" s="142"/>
      <c r="EA48" s="142"/>
      <c r="EB48" s="142"/>
      <c r="EC48" s="142"/>
      <c r="ED48" s="142"/>
      <c r="EE48" s="142"/>
      <c r="EF48" s="142"/>
      <c r="EG48" s="142"/>
      <c r="EH48" s="142"/>
      <c r="EI48" s="142"/>
      <c r="EJ48" s="142"/>
      <c r="EK48" s="142"/>
      <c r="EL48" s="142"/>
      <c r="EM48" s="142"/>
      <c r="EN48" s="142"/>
      <c r="EO48" s="142"/>
      <c r="EP48" s="142"/>
      <c r="EQ48" s="142"/>
      <c r="ER48" s="142"/>
      <c r="ES48" s="142"/>
      <c r="ET48" s="142"/>
      <c r="EU48" s="142"/>
      <c r="EV48" s="142"/>
      <c r="EW48" s="142"/>
      <c r="EX48" s="142"/>
      <c r="EY48" s="142"/>
      <c r="EZ48" s="142"/>
      <c r="FA48" s="142"/>
      <c r="FB48" s="142"/>
      <c r="FC48" s="142"/>
      <c r="FD48" s="142"/>
      <c r="FE48" s="142"/>
      <c r="FF48" s="142"/>
      <c r="FG48" s="142"/>
      <c r="FH48" s="142"/>
      <c r="FI48" s="142"/>
      <c r="FJ48" s="142"/>
      <c r="FK48" s="142"/>
      <c r="FL48" s="142"/>
      <c r="FM48" s="142"/>
      <c r="FN48" s="142"/>
      <c r="FO48" s="142"/>
      <c r="FP48" s="142"/>
      <c r="FQ48" s="142"/>
      <c r="FR48" s="142"/>
      <c r="FS48" s="142"/>
      <c r="FT48" s="142"/>
      <c r="FU48" s="142"/>
      <c r="FV48" s="142"/>
      <c r="FW48" s="142"/>
      <c r="FX48" s="142"/>
      <c r="FY48" s="142"/>
      <c r="FZ48" s="142"/>
      <c r="GA48" s="142"/>
      <c r="GB48" s="142"/>
      <c r="GC48" s="142"/>
      <c r="GD48" s="142"/>
      <c r="GE48" s="142"/>
      <c r="GF48" s="142"/>
      <c r="GG48" s="142"/>
      <c r="GH48" s="142"/>
      <c r="GI48" s="142"/>
      <c r="GJ48" s="142"/>
      <c r="GK48" s="142"/>
      <c r="GL48" s="142"/>
      <c r="GM48" s="142"/>
    </row>
    <row r="49" spans="1:195" customFormat="1" ht="15" x14ac:dyDescent="0.25">
      <c r="A49" s="17" t="s">
        <v>82</v>
      </c>
      <c r="B49" s="47">
        <f t="shared" si="15"/>
        <v>0</v>
      </c>
      <c r="C49" s="6"/>
      <c r="D49" s="48"/>
      <c r="E49" s="6"/>
      <c r="F49" s="6">
        <f t="shared" si="16"/>
        <v>0</v>
      </c>
      <c r="G49" s="6"/>
      <c r="H49" s="6"/>
      <c r="I49" s="6"/>
      <c r="J49" s="47">
        <f t="shared" si="17"/>
        <v>0</v>
      </c>
      <c r="K49" s="6"/>
      <c r="L49" s="48"/>
      <c r="M49" s="6"/>
      <c r="N49" s="6">
        <f t="shared" si="18"/>
        <v>0</v>
      </c>
      <c r="O49" s="6"/>
      <c r="P49" s="6"/>
      <c r="Q49" s="6"/>
      <c r="R49" s="47">
        <f t="shared" si="19"/>
        <v>0</v>
      </c>
      <c r="S49" s="6"/>
      <c r="T49" s="48"/>
      <c r="U49" s="6"/>
      <c r="V49" s="6">
        <f t="shared" si="20"/>
        <v>0</v>
      </c>
      <c r="W49" s="6"/>
      <c r="X49" s="6"/>
      <c r="Y49" s="6"/>
      <c r="Z49" s="47">
        <f t="shared" si="21"/>
        <v>0</v>
      </c>
      <c r="AA49" s="6"/>
      <c r="AB49" s="48"/>
      <c r="AC49" s="6"/>
      <c r="AD49" s="6">
        <f t="shared" si="22"/>
        <v>0</v>
      </c>
      <c r="AE49" s="6"/>
      <c r="AF49" s="6"/>
      <c r="AG49" s="6"/>
      <c r="AH49" s="47">
        <f t="shared" si="23"/>
        <v>0</v>
      </c>
      <c r="AI49" s="6"/>
      <c r="AJ49" s="48"/>
      <c r="AK49" s="6"/>
      <c r="AL49" s="6">
        <f t="shared" si="24"/>
        <v>0</v>
      </c>
      <c r="AM49" s="6"/>
      <c r="AN49" s="6"/>
      <c r="AO49" s="6"/>
      <c r="AP49" s="47">
        <f t="shared" si="25"/>
        <v>0</v>
      </c>
      <c r="AQ49" s="6"/>
      <c r="AR49" s="48"/>
      <c r="AS49" s="6"/>
      <c r="AT49" s="6">
        <f t="shared" si="26"/>
        <v>0</v>
      </c>
      <c r="AU49" s="6"/>
      <c r="AV49" s="6"/>
      <c r="AW49" s="6"/>
      <c r="AX49" s="47">
        <f t="shared" si="27"/>
        <v>0</v>
      </c>
      <c r="AY49" s="6">
        <f t="shared" si="28"/>
        <v>0</v>
      </c>
      <c r="AZ49" s="6">
        <f t="shared" si="29"/>
        <v>0</v>
      </c>
      <c r="BA49" s="6"/>
      <c r="BB49" s="6"/>
      <c r="BC49" s="6"/>
      <c r="BD49" s="6"/>
      <c r="BE49" s="6"/>
      <c r="BF49" s="6"/>
      <c r="BG49" s="6"/>
      <c r="BH49" s="6"/>
      <c r="BI49" s="6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/>
      <c r="BU49" s="142"/>
      <c r="BV49" s="142"/>
      <c r="BW49" s="142"/>
      <c r="BX49" s="142"/>
      <c r="BY49" s="142"/>
      <c r="BZ49" s="142"/>
      <c r="CA49" s="142"/>
      <c r="CB49" s="142"/>
      <c r="CC49" s="142"/>
      <c r="CD49" s="142"/>
      <c r="CE49" s="142"/>
      <c r="CF49" s="142"/>
      <c r="CG49" s="142"/>
      <c r="CH49" s="142"/>
      <c r="CI49" s="142"/>
      <c r="CJ49" s="142"/>
      <c r="CK49" s="142"/>
      <c r="CL49" s="142"/>
      <c r="CM49" s="142"/>
      <c r="CN49" s="142"/>
      <c r="CO49" s="142"/>
      <c r="CP49" s="142"/>
      <c r="CQ49" s="142"/>
      <c r="CR49" s="142"/>
      <c r="CS49" s="142"/>
      <c r="CT49" s="142"/>
      <c r="CU49" s="142"/>
      <c r="CV49" s="142"/>
      <c r="CW49" s="142"/>
      <c r="CX49" s="142"/>
      <c r="CY49" s="142"/>
      <c r="CZ49" s="142"/>
      <c r="DA49" s="142"/>
      <c r="DB49" s="142"/>
      <c r="DC49" s="142"/>
      <c r="DD49" s="142"/>
      <c r="DE49" s="142"/>
      <c r="DF49" s="142"/>
      <c r="DG49" s="142"/>
      <c r="DH49" s="142"/>
      <c r="DI49" s="142"/>
      <c r="DJ49" s="142"/>
      <c r="DK49" s="142"/>
      <c r="DL49" s="142"/>
      <c r="DM49" s="142"/>
      <c r="DN49" s="142"/>
      <c r="DO49" s="142"/>
      <c r="DP49" s="142"/>
      <c r="DQ49" s="142"/>
      <c r="DR49" s="142"/>
      <c r="DS49" s="142"/>
      <c r="DT49" s="142"/>
      <c r="DU49" s="142"/>
      <c r="DV49" s="142"/>
      <c r="DW49" s="142"/>
      <c r="DX49" s="142"/>
      <c r="DY49" s="142"/>
      <c r="DZ49" s="142"/>
      <c r="EA49" s="142"/>
      <c r="EB49" s="142"/>
      <c r="EC49" s="142"/>
      <c r="ED49" s="142"/>
      <c r="EE49" s="142"/>
      <c r="EF49" s="142"/>
      <c r="EG49" s="142"/>
      <c r="EH49" s="142"/>
      <c r="EI49" s="142"/>
      <c r="EJ49" s="142"/>
      <c r="EK49" s="142"/>
      <c r="EL49" s="142"/>
      <c r="EM49" s="142"/>
      <c r="EN49" s="142"/>
      <c r="EO49" s="142"/>
      <c r="EP49" s="142"/>
      <c r="EQ49" s="142"/>
      <c r="ER49" s="142"/>
      <c r="ES49" s="142"/>
      <c r="ET49" s="142"/>
      <c r="EU49" s="142"/>
      <c r="EV49" s="142"/>
      <c r="EW49" s="142"/>
      <c r="EX49" s="142"/>
      <c r="EY49" s="142"/>
      <c r="EZ49" s="142"/>
      <c r="FA49" s="142"/>
      <c r="FB49" s="142"/>
      <c r="FC49" s="142"/>
      <c r="FD49" s="142"/>
      <c r="FE49" s="142"/>
      <c r="FF49" s="142"/>
      <c r="FG49" s="142"/>
      <c r="FH49" s="142"/>
      <c r="FI49" s="142"/>
      <c r="FJ49" s="142"/>
      <c r="FK49" s="142"/>
      <c r="FL49" s="142"/>
      <c r="FM49" s="142"/>
      <c r="FN49" s="142"/>
      <c r="FO49" s="142"/>
      <c r="FP49" s="142"/>
      <c r="FQ49" s="142"/>
      <c r="FR49" s="142"/>
      <c r="FS49" s="142"/>
      <c r="FT49" s="142"/>
      <c r="FU49" s="142"/>
      <c r="FV49" s="142"/>
      <c r="FW49" s="142"/>
      <c r="FX49" s="142"/>
      <c r="FY49" s="142"/>
      <c r="FZ49" s="142"/>
      <c r="GA49" s="142"/>
      <c r="GB49" s="142"/>
      <c r="GC49" s="142"/>
      <c r="GD49" s="142"/>
      <c r="GE49" s="142"/>
      <c r="GF49" s="142"/>
      <c r="GG49" s="142"/>
      <c r="GH49" s="142"/>
      <c r="GI49" s="142"/>
      <c r="GJ49" s="142"/>
      <c r="GK49" s="142"/>
      <c r="GL49" s="142"/>
      <c r="GM49" s="142"/>
    </row>
    <row r="50" spans="1:195" customFormat="1" ht="15" x14ac:dyDescent="0.25">
      <c r="A50" s="17" t="s">
        <v>99</v>
      </c>
      <c r="B50" s="47">
        <f t="shared" si="15"/>
        <v>0</v>
      </c>
      <c r="C50" s="6"/>
      <c r="D50" s="48"/>
      <c r="E50" s="6"/>
      <c r="F50" s="6">
        <f t="shared" si="16"/>
        <v>0</v>
      </c>
      <c r="G50" s="6"/>
      <c r="H50" s="6"/>
      <c r="I50" s="6"/>
      <c r="J50" s="47">
        <f t="shared" si="17"/>
        <v>0</v>
      </c>
      <c r="K50" s="6"/>
      <c r="L50" s="48"/>
      <c r="M50" s="6"/>
      <c r="N50" s="6">
        <f t="shared" si="18"/>
        <v>0</v>
      </c>
      <c r="O50" s="6"/>
      <c r="P50" s="6"/>
      <c r="Q50" s="6"/>
      <c r="R50" s="47">
        <f t="shared" si="19"/>
        <v>0</v>
      </c>
      <c r="S50" s="6"/>
      <c r="T50" s="48"/>
      <c r="U50" s="6"/>
      <c r="V50" s="6">
        <f t="shared" si="20"/>
        <v>0</v>
      </c>
      <c r="W50" s="6"/>
      <c r="X50" s="6"/>
      <c r="Y50" s="6"/>
      <c r="Z50" s="47">
        <f t="shared" si="21"/>
        <v>0</v>
      </c>
      <c r="AA50" s="6"/>
      <c r="AB50" s="48"/>
      <c r="AC50" s="6"/>
      <c r="AD50" s="6">
        <f t="shared" si="22"/>
        <v>0</v>
      </c>
      <c r="AE50" s="6"/>
      <c r="AF50" s="6"/>
      <c r="AG50" s="6"/>
      <c r="AH50" s="47">
        <f t="shared" si="23"/>
        <v>0</v>
      </c>
      <c r="AI50" s="6"/>
      <c r="AJ50" s="48"/>
      <c r="AK50" s="6"/>
      <c r="AL50" s="6">
        <f t="shared" si="24"/>
        <v>0</v>
      </c>
      <c r="AM50" s="6"/>
      <c r="AN50" s="6"/>
      <c r="AO50" s="6"/>
      <c r="AP50" s="47">
        <f t="shared" si="25"/>
        <v>0</v>
      </c>
      <c r="AQ50" s="6"/>
      <c r="AR50" s="48"/>
      <c r="AS50" s="6"/>
      <c r="AT50" s="6">
        <f t="shared" si="26"/>
        <v>0</v>
      </c>
      <c r="AU50" s="6"/>
      <c r="AV50" s="6"/>
      <c r="AW50" s="6"/>
      <c r="AX50" s="47">
        <f t="shared" si="27"/>
        <v>0</v>
      </c>
      <c r="AY50" s="6">
        <f t="shared" si="28"/>
        <v>0</v>
      </c>
      <c r="AZ50" s="6">
        <f t="shared" si="29"/>
        <v>0</v>
      </c>
      <c r="BA50" s="6"/>
      <c r="BB50" s="6"/>
      <c r="BC50" s="6"/>
      <c r="BD50" s="6"/>
      <c r="BE50" s="6"/>
      <c r="BF50" s="6"/>
      <c r="BG50" s="6"/>
      <c r="BH50" s="6"/>
      <c r="BI50" s="6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  <c r="BU50" s="142"/>
      <c r="BV50" s="142"/>
      <c r="BW50" s="142"/>
      <c r="BX50" s="142"/>
      <c r="BY50" s="142"/>
      <c r="BZ50" s="142"/>
      <c r="CA50" s="142"/>
      <c r="CB50" s="142"/>
      <c r="CC50" s="142"/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  <c r="CP50" s="142"/>
      <c r="CQ50" s="142"/>
      <c r="CR50" s="142"/>
      <c r="CS50" s="142"/>
      <c r="CT50" s="142"/>
      <c r="CU50" s="142"/>
      <c r="CV50" s="142"/>
      <c r="CW50" s="142"/>
      <c r="CX50" s="142"/>
      <c r="CY50" s="142"/>
      <c r="CZ50" s="142"/>
      <c r="DA50" s="142"/>
      <c r="DB50" s="142"/>
      <c r="DC50" s="142"/>
      <c r="DD50" s="142"/>
      <c r="DE50" s="142"/>
      <c r="DF50" s="142"/>
      <c r="DG50" s="142"/>
      <c r="DH50" s="142"/>
      <c r="DI50" s="142"/>
      <c r="DJ50" s="142"/>
      <c r="DK50" s="142"/>
      <c r="DL50" s="142"/>
      <c r="DM50" s="142"/>
      <c r="DN50" s="142"/>
      <c r="DO50" s="142"/>
      <c r="DP50" s="142"/>
      <c r="DQ50" s="142"/>
      <c r="DR50" s="142"/>
      <c r="DS50" s="142"/>
      <c r="DT50" s="142"/>
      <c r="DU50" s="142"/>
      <c r="DV50" s="142"/>
      <c r="DW50" s="142"/>
      <c r="DX50" s="142"/>
      <c r="DY50" s="142"/>
      <c r="DZ50" s="142"/>
      <c r="EA50" s="142"/>
      <c r="EB50" s="142"/>
      <c r="EC50" s="142"/>
      <c r="ED50" s="142"/>
      <c r="EE50" s="142"/>
      <c r="EF50" s="142"/>
      <c r="EG50" s="142"/>
      <c r="EH50" s="142"/>
      <c r="EI50" s="142"/>
      <c r="EJ50" s="142"/>
      <c r="EK50" s="142"/>
      <c r="EL50" s="142"/>
      <c r="EM50" s="142"/>
      <c r="EN50" s="142"/>
      <c r="EO50" s="142"/>
      <c r="EP50" s="142"/>
      <c r="EQ50" s="142"/>
      <c r="ER50" s="142"/>
      <c r="ES50" s="142"/>
      <c r="ET50" s="142"/>
      <c r="EU50" s="142"/>
      <c r="EV50" s="142"/>
      <c r="EW50" s="142"/>
      <c r="EX50" s="142"/>
      <c r="EY50" s="142"/>
      <c r="EZ50" s="142"/>
      <c r="FA50" s="142"/>
      <c r="FB50" s="142"/>
      <c r="FC50" s="142"/>
      <c r="FD50" s="142"/>
      <c r="FE50" s="142"/>
      <c r="FF50" s="142"/>
      <c r="FG50" s="142"/>
      <c r="FH50" s="142"/>
      <c r="FI50" s="142"/>
      <c r="FJ50" s="142"/>
      <c r="FK50" s="142"/>
      <c r="FL50" s="142"/>
      <c r="FM50" s="142"/>
      <c r="FN50" s="142"/>
      <c r="FO50" s="142"/>
      <c r="FP50" s="142"/>
      <c r="FQ50" s="142"/>
      <c r="FR50" s="142"/>
      <c r="FS50" s="142"/>
      <c r="FT50" s="142"/>
      <c r="FU50" s="142"/>
      <c r="FV50" s="142"/>
      <c r="FW50" s="142"/>
      <c r="FX50" s="142"/>
      <c r="FY50" s="142"/>
      <c r="FZ50" s="142"/>
      <c r="GA50" s="142"/>
      <c r="GB50" s="142"/>
      <c r="GC50" s="142"/>
      <c r="GD50" s="142"/>
      <c r="GE50" s="142"/>
      <c r="GF50" s="142"/>
      <c r="GG50" s="142"/>
      <c r="GH50" s="142"/>
      <c r="GI50" s="142"/>
      <c r="GJ50" s="142"/>
      <c r="GK50" s="142"/>
      <c r="GL50" s="142"/>
      <c r="GM50" s="142"/>
    </row>
    <row r="51" spans="1:195" customFormat="1" ht="15" x14ac:dyDescent="0.25">
      <c r="A51" s="17" t="s">
        <v>81</v>
      </c>
      <c r="B51" s="47">
        <f t="shared" si="15"/>
        <v>0</v>
      </c>
      <c r="C51" s="6"/>
      <c r="D51" s="48"/>
      <c r="E51" s="6"/>
      <c r="F51" s="6">
        <f t="shared" si="16"/>
        <v>0</v>
      </c>
      <c r="G51" s="6"/>
      <c r="H51" s="6"/>
      <c r="I51" s="6"/>
      <c r="J51" s="47">
        <f t="shared" si="17"/>
        <v>0</v>
      </c>
      <c r="K51" s="6"/>
      <c r="L51" s="48"/>
      <c r="M51" s="6"/>
      <c r="N51" s="6">
        <f t="shared" si="18"/>
        <v>0</v>
      </c>
      <c r="O51" s="6"/>
      <c r="P51" s="6"/>
      <c r="Q51" s="6"/>
      <c r="R51" s="47">
        <f t="shared" si="19"/>
        <v>0</v>
      </c>
      <c r="S51" s="6"/>
      <c r="T51" s="48"/>
      <c r="U51" s="6"/>
      <c r="V51" s="6">
        <f t="shared" si="20"/>
        <v>0</v>
      </c>
      <c r="W51" s="6"/>
      <c r="X51" s="6"/>
      <c r="Y51" s="6"/>
      <c r="Z51" s="47">
        <f t="shared" si="21"/>
        <v>0</v>
      </c>
      <c r="AA51" s="6"/>
      <c r="AB51" s="48"/>
      <c r="AC51" s="6"/>
      <c r="AD51" s="6">
        <f t="shared" si="22"/>
        <v>0</v>
      </c>
      <c r="AE51" s="6"/>
      <c r="AF51" s="6"/>
      <c r="AG51" s="6"/>
      <c r="AH51" s="47">
        <f t="shared" si="23"/>
        <v>0</v>
      </c>
      <c r="AI51" s="6"/>
      <c r="AJ51" s="48"/>
      <c r="AK51" s="6"/>
      <c r="AL51" s="6">
        <f t="shared" si="24"/>
        <v>0</v>
      </c>
      <c r="AM51" s="6"/>
      <c r="AN51" s="6"/>
      <c r="AO51" s="6"/>
      <c r="AP51" s="47">
        <f t="shared" si="25"/>
        <v>0</v>
      </c>
      <c r="AQ51" s="6"/>
      <c r="AR51" s="48"/>
      <c r="AS51" s="6"/>
      <c r="AT51" s="6">
        <f t="shared" si="26"/>
        <v>0</v>
      </c>
      <c r="AU51" s="6"/>
      <c r="AV51" s="6"/>
      <c r="AW51" s="6"/>
      <c r="AX51" s="47">
        <f t="shared" si="27"/>
        <v>0</v>
      </c>
      <c r="AY51" s="6">
        <f t="shared" si="28"/>
        <v>0</v>
      </c>
      <c r="AZ51" s="6">
        <f t="shared" si="29"/>
        <v>0</v>
      </c>
      <c r="BA51" s="6"/>
      <c r="BB51" s="6"/>
      <c r="BC51" s="6"/>
      <c r="BD51" s="6"/>
      <c r="BE51" s="6"/>
      <c r="BF51" s="6"/>
      <c r="BG51" s="6"/>
      <c r="BH51" s="6"/>
      <c r="BI51" s="6"/>
      <c r="BJ51" s="142"/>
      <c r="BK51" s="142"/>
      <c r="BL51" s="142"/>
      <c r="BM51" s="142"/>
      <c r="BN51" s="142"/>
      <c r="BO51" s="142"/>
      <c r="BP51" s="142"/>
      <c r="BQ51" s="142"/>
      <c r="BR51" s="142"/>
      <c r="BS51" s="142"/>
      <c r="BT51" s="142"/>
      <c r="BU51" s="142"/>
      <c r="BV51" s="142"/>
      <c r="BW51" s="142"/>
      <c r="BX51" s="142"/>
      <c r="BY51" s="142"/>
      <c r="BZ51" s="142"/>
      <c r="CA51" s="142"/>
      <c r="CB51" s="142"/>
      <c r="CC51" s="142"/>
      <c r="CD51" s="142"/>
      <c r="CE51" s="142"/>
      <c r="CF51" s="142"/>
      <c r="CG51" s="142"/>
      <c r="CH51" s="142"/>
      <c r="CI51" s="142"/>
      <c r="CJ51" s="142"/>
      <c r="CK51" s="142"/>
      <c r="CL51" s="142"/>
      <c r="CM51" s="142"/>
      <c r="CN51" s="142"/>
      <c r="CO51" s="142"/>
      <c r="CP51" s="142"/>
      <c r="CQ51" s="142"/>
      <c r="CR51" s="142"/>
      <c r="CS51" s="142"/>
      <c r="CT51" s="142"/>
      <c r="CU51" s="142"/>
      <c r="CV51" s="142"/>
      <c r="CW51" s="142"/>
      <c r="CX51" s="142"/>
      <c r="CY51" s="142"/>
      <c r="CZ51" s="142"/>
      <c r="DA51" s="142"/>
      <c r="DB51" s="142"/>
      <c r="DC51" s="142"/>
      <c r="DD51" s="142"/>
      <c r="DE51" s="142"/>
      <c r="DF51" s="142"/>
      <c r="DG51" s="142"/>
      <c r="DH51" s="142"/>
      <c r="DI51" s="142"/>
      <c r="DJ51" s="142"/>
      <c r="DK51" s="142"/>
      <c r="DL51" s="142"/>
      <c r="DM51" s="142"/>
      <c r="DN51" s="142"/>
      <c r="DO51" s="142"/>
      <c r="DP51" s="142"/>
      <c r="DQ51" s="142"/>
      <c r="DR51" s="142"/>
      <c r="DS51" s="142"/>
      <c r="DT51" s="142"/>
      <c r="DU51" s="142"/>
      <c r="DV51" s="142"/>
      <c r="DW51" s="142"/>
      <c r="DX51" s="142"/>
      <c r="DY51" s="142"/>
      <c r="DZ51" s="142"/>
      <c r="EA51" s="142"/>
      <c r="EB51" s="142"/>
      <c r="EC51" s="142"/>
      <c r="ED51" s="142"/>
      <c r="EE51" s="142"/>
      <c r="EF51" s="142"/>
      <c r="EG51" s="142"/>
      <c r="EH51" s="142"/>
      <c r="EI51" s="142"/>
      <c r="EJ51" s="142"/>
      <c r="EK51" s="142"/>
      <c r="EL51" s="142"/>
      <c r="EM51" s="142"/>
      <c r="EN51" s="142"/>
      <c r="EO51" s="142"/>
      <c r="EP51" s="142"/>
      <c r="EQ51" s="142"/>
      <c r="ER51" s="142"/>
      <c r="ES51" s="142"/>
      <c r="ET51" s="142"/>
      <c r="EU51" s="142"/>
      <c r="EV51" s="142"/>
      <c r="EW51" s="142"/>
      <c r="EX51" s="142"/>
      <c r="EY51" s="142"/>
      <c r="EZ51" s="142"/>
      <c r="FA51" s="142"/>
      <c r="FB51" s="142"/>
      <c r="FC51" s="142"/>
      <c r="FD51" s="142"/>
      <c r="FE51" s="142"/>
      <c r="FF51" s="142"/>
      <c r="FG51" s="142"/>
      <c r="FH51" s="142"/>
      <c r="FI51" s="142"/>
      <c r="FJ51" s="142"/>
      <c r="FK51" s="142"/>
      <c r="FL51" s="142"/>
      <c r="FM51" s="142"/>
      <c r="FN51" s="142"/>
      <c r="FO51" s="142"/>
      <c r="FP51" s="142"/>
      <c r="FQ51" s="142"/>
      <c r="FR51" s="142"/>
      <c r="FS51" s="142"/>
      <c r="FT51" s="142"/>
      <c r="FU51" s="142"/>
      <c r="FV51" s="142"/>
      <c r="FW51" s="142"/>
      <c r="FX51" s="142"/>
      <c r="FY51" s="142"/>
      <c r="FZ51" s="142"/>
      <c r="GA51" s="142"/>
      <c r="GB51" s="142"/>
      <c r="GC51" s="142"/>
      <c r="GD51" s="142"/>
      <c r="GE51" s="142"/>
      <c r="GF51" s="142"/>
      <c r="GG51" s="142"/>
      <c r="GH51" s="142"/>
      <c r="GI51" s="142"/>
      <c r="GJ51" s="142"/>
      <c r="GK51" s="142"/>
      <c r="GL51" s="142"/>
      <c r="GM51" s="142"/>
    </row>
    <row r="52" spans="1:195" customFormat="1" ht="15" x14ac:dyDescent="0.25">
      <c r="A52" s="17" t="s">
        <v>82</v>
      </c>
      <c r="B52" s="47">
        <f t="shared" si="15"/>
        <v>0</v>
      </c>
      <c r="C52" s="6"/>
      <c r="D52" s="48"/>
      <c r="E52" s="6"/>
      <c r="F52" s="6">
        <f t="shared" si="16"/>
        <v>0</v>
      </c>
      <c r="G52" s="6"/>
      <c r="H52" s="6"/>
      <c r="I52" s="6"/>
      <c r="J52" s="47">
        <f t="shared" si="17"/>
        <v>0</v>
      </c>
      <c r="K52" s="6"/>
      <c r="L52" s="48"/>
      <c r="M52" s="6"/>
      <c r="N52" s="6">
        <f t="shared" si="18"/>
        <v>0</v>
      </c>
      <c r="O52" s="6"/>
      <c r="P52" s="6"/>
      <c r="Q52" s="6"/>
      <c r="R52" s="47">
        <f t="shared" si="19"/>
        <v>0</v>
      </c>
      <c r="S52" s="6"/>
      <c r="T52" s="48"/>
      <c r="U52" s="6"/>
      <c r="V52" s="6">
        <f t="shared" si="20"/>
        <v>0</v>
      </c>
      <c r="W52" s="6"/>
      <c r="X52" s="6"/>
      <c r="Y52" s="6"/>
      <c r="Z52" s="47">
        <f t="shared" si="21"/>
        <v>0</v>
      </c>
      <c r="AA52" s="6"/>
      <c r="AB52" s="48"/>
      <c r="AC52" s="6"/>
      <c r="AD52" s="6">
        <f t="shared" si="22"/>
        <v>0</v>
      </c>
      <c r="AE52" s="6"/>
      <c r="AF52" s="6"/>
      <c r="AG52" s="6"/>
      <c r="AH52" s="47">
        <f t="shared" si="23"/>
        <v>0</v>
      </c>
      <c r="AI52" s="6"/>
      <c r="AJ52" s="48"/>
      <c r="AK52" s="6"/>
      <c r="AL52" s="6">
        <f t="shared" si="24"/>
        <v>0</v>
      </c>
      <c r="AM52" s="6"/>
      <c r="AN52" s="6"/>
      <c r="AO52" s="6"/>
      <c r="AP52" s="47">
        <f t="shared" si="25"/>
        <v>0</v>
      </c>
      <c r="AQ52" s="6"/>
      <c r="AR52" s="48"/>
      <c r="AS52" s="6"/>
      <c r="AT52" s="6">
        <f t="shared" si="26"/>
        <v>0</v>
      </c>
      <c r="AU52" s="6"/>
      <c r="AV52" s="6"/>
      <c r="AW52" s="6"/>
      <c r="AX52" s="47">
        <f t="shared" si="27"/>
        <v>0</v>
      </c>
      <c r="AY52" s="6">
        <f t="shared" si="28"/>
        <v>0</v>
      </c>
      <c r="AZ52" s="6">
        <f t="shared" si="29"/>
        <v>0</v>
      </c>
      <c r="BA52" s="6"/>
      <c r="BB52" s="6"/>
      <c r="BC52" s="6"/>
      <c r="BD52" s="6"/>
      <c r="BE52" s="6"/>
      <c r="BF52" s="6"/>
      <c r="BG52" s="6"/>
      <c r="BH52" s="6"/>
      <c r="BI52" s="6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  <c r="BU52" s="142"/>
      <c r="BV52" s="142"/>
      <c r="BW52" s="142"/>
      <c r="BX52" s="142"/>
      <c r="BY52" s="142"/>
      <c r="BZ52" s="142"/>
      <c r="CA52" s="142"/>
      <c r="CB52" s="142"/>
      <c r="CC52" s="142"/>
      <c r="CD52" s="142"/>
      <c r="CE52" s="142"/>
      <c r="CF52" s="142"/>
      <c r="CG52" s="142"/>
      <c r="CH52" s="142"/>
      <c r="CI52" s="142"/>
      <c r="CJ52" s="142"/>
      <c r="CK52" s="142"/>
      <c r="CL52" s="142"/>
      <c r="CM52" s="142"/>
      <c r="CN52" s="142"/>
      <c r="CO52" s="142"/>
      <c r="CP52" s="142"/>
      <c r="CQ52" s="142"/>
      <c r="CR52" s="142"/>
      <c r="CS52" s="142"/>
      <c r="CT52" s="142"/>
      <c r="CU52" s="142"/>
      <c r="CV52" s="142"/>
      <c r="CW52" s="142"/>
      <c r="CX52" s="142"/>
      <c r="CY52" s="142"/>
      <c r="CZ52" s="142"/>
      <c r="DA52" s="142"/>
      <c r="DB52" s="142"/>
      <c r="DC52" s="142"/>
      <c r="DD52" s="142"/>
      <c r="DE52" s="142"/>
      <c r="DF52" s="142"/>
      <c r="DG52" s="142"/>
      <c r="DH52" s="142"/>
      <c r="DI52" s="142"/>
      <c r="DJ52" s="142"/>
      <c r="DK52" s="142"/>
      <c r="DL52" s="142"/>
      <c r="DM52" s="142"/>
      <c r="DN52" s="142"/>
      <c r="DO52" s="142"/>
      <c r="DP52" s="142"/>
      <c r="DQ52" s="142"/>
      <c r="DR52" s="142"/>
      <c r="DS52" s="142"/>
      <c r="DT52" s="142"/>
      <c r="DU52" s="142"/>
      <c r="DV52" s="142"/>
      <c r="DW52" s="142"/>
      <c r="DX52" s="142"/>
      <c r="DY52" s="142"/>
      <c r="DZ52" s="142"/>
      <c r="EA52" s="142"/>
      <c r="EB52" s="142"/>
      <c r="EC52" s="142"/>
      <c r="ED52" s="142"/>
      <c r="EE52" s="142"/>
      <c r="EF52" s="142"/>
      <c r="EG52" s="142"/>
      <c r="EH52" s="142"/>
      <c r="EI52" s="142"/>
      <c r="EJ52" s="142"/>
      <c r="EK52" s="142"/>
      <c r="EL52" s="142"/>
      <c r="EM52" s="142"/>
      <c r="EN52" s="142"/>
      <c r="EO52" s="142"/>
      <c r="EP52" s="142"/>
      <c r="EQ52" s="142"/>
      <c r="ER52" s="142"/>
      <c r="ES52" s="142"/>
      <c r="ET52" s="142"/>
      <c r="EU52" s="142"/>
      <c r="EV52" s="142"/>
      <c r="EW52" s="142"/>
      <c r="EX52" s="142"/>
      <c r="EY52" s="142"/>
      <c r="EZ52" s="142"/>
      <c r="FA52" s="142"/>
      <c r="FB52" s="142"/>
      <c r="FC52" s="142"/>
      <c r="FD52" s="142"/>
      <c r="FE52" s="142"/>
      <c r="FF52" s="142"/>
      <c r="FG52" s="142"/>
      <c r="FH52" s="142"/>
      <c r="FI52" s="142"/>
      <c r="FJ52" s="142"/>
      <c r="FK52" s="142"/>
      <c r="FL52" s="142"/>
      <c r="FM52" s="142"/>
      <c r="FN52" s="142"/>
      <c r="FO52" s="142"/>
      <c r="FP52" s="142"/>
      <c r="FQ52" s="142"/>
      <c r="FR52" s="142"/>
      <c r="FS52" s="142"/>
      <c r="FT52" s="142"/>
      <c r="FU52" s="142"/>
      <c r="FV52" s="142"/>
      <c r="FW52" s="142"/>
      <c r="FX52" s="142"/>
      <c r="FY52" s="142"/>
      <c r="FZ52" s="142"/>
      <c r="GA52" s="142"/>
      <c r="GB52" s="142"/>
      <c r="GC52" s="142"/>
      <c r="GD52" s="142"/>
      <c r="GE52" s="142"/>
      <c r="GF52" s="142"/>
      <c r="GG52" s="142"/>
      <c r="GH52" s="142"/>
      <c r="GI52" s="142"/>
      <c r="GJ52" s="142"/>
      <c r="GK52" s="142"/>
      <c r="GL52" s="142"/>
      <c r="GM52" s="142"/>
    </row>
    <row r="53" spans="1:195" customFormat="1" ht="15" x14ac:dyDescent="0.25">
      <c r="A53" s="17" t="s">
        <v>100</v>
      </c>
      <c r="B53" s="47">
        <f t="shared" si="15"/>
        <v>0</v>
      </c>
      <c r="C53" s="6"/>
      <c r="D53" s="48"/>
      <c r="E53" s="6"/>
      <c r="F53" s="6">
        <f t="shared" si="16"/>
        <v>0</v>
      </c>
      <c r="G53" s="6"/>
      <c r="H53" s="6"/>
      <c r="I53" s="6"/>
      <c r="J53" s="47">
        <f t="shared" si="17"/>
        <v>0</v>
      </c>
      <c r="K53" s="6"/>
      <c r="L53" s="48"/>
      <c r="M53" s="6"/>
      <c r="N53" s="6">
        <f t="shared" si="18"/>
        <v>0</v>
      </c>
      <c r="O53" s="6"/>
      <c r="P53" s="6"/>
      <c r="Q53" s="6"/>
      <c r="R53" s="47">
        <f t="shared" si="19"/>
        <v>0</v>
      </c>
      <c r="S53" s="6"/>
      <c r="T53" s="48"/>
      <c r="U53" s="6"/>
      <c r="V53" s="6">
        <f t="shared" si="20"/>
        <v>0</v>
      </c>
      <c r="W53" s="6"/>
      <c r="X53" s="6"/>
      <c r="Y53" s="6"/>
      <c r="Z53" s="47">
        <f t="shared" si="21"/>
        <v>0</v>
      </c>
      <c r="AA53" s="6"/>
      <c r="AB53" s="48"/>
      <c r="AC53" s="6"/>
      <c r="AD53" s="6">
        <f t="shared" si="22"/>
        <v>0</v>
      </c>
      <c r="AE53" s="6"/>
      <c r="AF53" s="6"/>
      <c r="AG53" s="6"/>
      <c r="AH53" s="47">
        <f t="shared" si="23"/>
        <v>0</v>
      </c>
      <c r="AI53" s="6"/>
      <c r="AJ53" s="48"/>
      <c r="AK53" s="6"/>
      <c r="AL53" s="6">
        <f t="shared" si="24"/>
        <v>0</v>
      </c>
      <c r="AM53" s="6"/>
      <c r="AN53" s="6"/>
      <c r="AO53" s="6"/>
      <c r="AP53" s="47">
        <f t="shared" si="25"/>
        <v>0</v>
      </c>
      <c r="AQ53" s="6"/>
      <c r="AR53" s="48"/>
      <c r="AS53" s="6"/>
      <c r="AT53" s="6">
        <f t="shared" si="26"/>
        <v>0</v>
      </c>
      <c r="AU53" s="6"/>
      <c r="AV53" s="6"/>
      <c r="AW53" s="6"/>
      <c r="AX53" s="47">
        <f t="shared" si="27"/>
        <v>0</v>
      </c>
      <c r="AY53" s="6">
        <f t="shared" si="28"/>
        <v>0</v>
      </c>
      <c r="AZ53" s="6">
        <f t="shared" si="29"/>
        <v>0</v>
      </c>
      <c r="BA53" s="6"/>
      <c r="BB53" s="6"/>
      <c r="BC53" s="6"/>
      <c r="BD53" s="6"/>
      <c r="BE53" s="6"/>
      <c r="BF53" s="6"/>
      <c r="BG53" s="6"/>
      <c r="BH53" s="6"/>
      <c r="BI53" s="6"/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  <c r="BT53" s="142"/>
      <c r="BU53" s="142"/>
      <c r="BV53" s="142"/>
      <c r="BW53" s="142"/>
      <c r="BX53" s="142"/>
      <c r="BY53" s="142"/>
      <c r="BZ53" s="142"/>
      <c r="CA53" s="142"/>
      <c r="CB53" s="142"/>
      <c r="CC53" s="142"/>
      <c r="CD53" s="142"/>
      <c r="CE53" s="142"/>
      <c r="CF53" s="142"/>
      <c r="CG53" s="142"/>
      <c r="CH53" s="142"/>
      <c r="CI53" s="142"/>
      <c r="CJ53" s="142"/>
      <c r="CK53" s="142"/>
      <c r="CL53" s="142"/>
      <c r="CM53" s="142"/>
      <c r="CN53" s="142"/>
      <c r="CO53" s="142"/>
      <c r="CP53" s="142"/>
      <c r="CQ53" s="142"/>
      <c r="CR53" s="142"/>
      <c r="CS53" s="142"/>
      <c r="CT53" s="142"/>
      <c r="CU53" s="142"/>
      <c r="CV53" s="142"/>
      <c r="CW53" s="142"/>
      <c r="CX53" s="142"/>
      <c r="CY53" s="142"/>
      <c r="CZ53" s="142"/>
      <c r="DA53" s="142"/>
      <c r="DB53" s="142"/>
      <c r="DC53" s="142"/>
      <c r="DD53" s="142"/>
      <c r="DE53" s="142"/>
      <c r="DF53" s="142"/>
      <c r="DG53" s="142"/>
      <c r="DH53" s="142"/>
      <c r="DI53" s="142"/>
      <c r="DJ53" s="142"/>
      <c r="DK53" s="142"/>
      <c r="DL53" s="142"/>
      <c r="DM53" s="142"/>
      <c r="DN53" s="142"/>
      <c r="DO53" s="142"/>
      <c r="DP53" s="142"/>
      <c r="DQ53" s="142"/>
      <c r="DR53" s="142"/>
      <c r="DS53" s="142"/>
      <c r="DT53" s="142"/>
      <c r="DU53" s="142"/>
      <c r="DV53" s="142"/>
      <c r="DW53" s="142"/>
      <c r="DX53" s="142"/>
      <c r="DY53" s="142"/>
      <c r="DZ53" s="142"/>
      <c r="EA53" s="142"/>
      <c r="EB53" s="142"/>
      <c r="EC53" s="142"/>
      <c r="ED53" s="142"/>
      <c r="EE53" s="142"/>
      <c r="EF53" s="142"/>
      <c r="EG53" s="142"/>
      <c r="EH53" s="142"/>
      <c r="EI53" s="142"/>
      <c r="EJ53" s="142"/>
      <c r="EK53" s="142"/>
      <c r="EL53" s="142"/>
      <c r="EM53" s="142"/>
      <c r="EN53" s="142"/>
      <c r="EO53" s="142"/>
      <c r="EP53" s="142"/>
      <c r="EQ53" s="142"/>
      <c r="ER53" s="142"/>
      <c r="ES53" s="142"/>
      <c r="ET53" s="142"/>
      <c r="EU53" s="142"/>
      <c r="EV53" s="142"/>
      <c r="EW53" s="142"/>
      <c r="EX53" s="142"/>
      <c r="EY53" s="142"/>
      <c r="EZ53" s="142"/>
      <c r="FA53" s="142"/>
      <c r="FB53" s="142"/>
      <c r="FC53" s="142"/>
      <c r="FD53" s="142"/>
      <c r="FE53" s="142"/>
      <c r="FF53" s="142"/>
      <c r="FG53" s="142"/>
      <c r="FH53" s="142"/>
      <c r="FI53" s="142"/>
      <c r="FJ53" s="142"/>
      <c r="FK53" s="142"/>
      <c r="FL53" s="142"/>
      <c r="FM53" s="142"/>
      <c r="FN53" s="142"/>
      <c r="FO53" s="142"/>
      <c r="FP53" s="142"/>
      <c r="FQ53" s="142"/>
      <c r="FR53" s="142"/>
      <c r="FS53" s="142"/>
      <c r="FT53" s="142"/>
      <c r="FU53" s="142"/>
      <c r="FV53" s="142"/>
      <c r="FW53" s="142"/>
      <c r="FX53" s="142"/>
      <c r="FY53" s="142"/>
      <c r="FZ53" s="142"/>
      <c r="GA53" s="142"/>
      <c r="GB53" s="142"/>
      <c r="GC53" s="142"/>
      <c r="GD53" s="142"/>
      <c r="GE53" s="142"/>
      <c r="GF53" s="142"/>
      <c r="GG53" s="142"/>
      <c r="GH53" s="142"/>
      <c r="GI53" s="142"/>
      <c r="GJ53" s="142"/>
      <c r="GK53" s="142"/>
      <c r="GL53" s="142"/>
      <c r="GM53" s="142"/>
    </row>
    <row r="54" spans="1:195" customFormat="1" ht="15" x14ac:dyDescent="0.25">
      <c r="A54" s="37"/>
      <c r="B54" s="137">
        <f t="shared" si="15"/>
        <v>0</v>
      </c>
      <c r="C54" s="133"/>
      <c r="D54" s="138"/>
      <c r="E54" s="133"/>
      <c r="F54" s="133">
        <f t="shared" si="16"/>
        <v>0</v>
      </c>
      <c r="G54" s="133"/>
      <c r="H54" s="133"/>
      <c r="I54" s="133"/>
      <c r="J54" s="137">
        <f t="shared" si="17"/>
        <v>0</v>
      </c>
      <c r="K54" s="133"/>
      <c r="L54" s="138"/>
      <c r="M54" s="133"/>
      <c r="N54" s="133">
        <f t="shared" si="18"/>
        <v>0</v>
      </c>
      <c r="O54" s="133"/>
      <c r="P54" s="133"/>
      <c r="Q54" s="133"/>
      <c r="R54" s="137">
        <f t="shared" si="19"/>
        <v>0</v>
      </c>
      <c r="S54" s="133"/>
      <c r="T54" s="138"/>
      <c r="U54" s="133"/>
      <c r="V54" s="133">
        <f t="shared" si="20"/>
        <v>0</v>
      </c>
      <c r="W54" s="133"/>
      <c r="X54" s="133"/>
      <c r="Y54" s="133"/>
      <c r="Z54" s="137">
        <f t="shared" si="21"/>
        <v>0</v>
      </c>
      <c r="AA54" s="133"/>
      <c r="AB54" s="138"/>
      <c r="AC54" s="133"/>
      <c r="AD54" s="133">
        <f t="shared" si="22"/>
        <v>0</v>
      </c>
      <c r="AE54" s="133"/>
      <c r="AF54" s="133"/>
      <c r="AG54" s="133"/>
      <c r="AH54" s="137">
        <f t="shared" si="23"/>
        <v>0</v>
      </c>
      <c r="AI54" s="133"/>
      <c r="AJ54" s="48"/>
      <c r="AK54" s="133"/>
      <c r="AL54" s="133">
        <f t="shared" si="24"/>
        <v>0</v>
      </c>
      <c r="AM54" s="133"/>
      <c r="AN54" s="133"/>
      <c r="AO54" s="133"/>
      <c r="AP54" s="137">
        <f t="shared" si="25"/>
        <v>0</v>
      </c>
      <c r="AQ54" s="133"/>
      <c r="AR54" s="138"/>
      <c r="AS54" s="133"/>
      <c r="AT54" s="133">
        <f t="shared" si="26"/>
        <v>0</v>
      </c>
      <c r="AU54" s="133"/>
      <c r="AV54" s="133"/>
      <c r="AW54" s="133"/>
      <c r="AX54" s="137">
        <f t="shared" si="27"/>
        <v>0</v>
      </c>
      <c r="AY54" s="133">
        <f t="shared" si="28"/>
        <v>0</v>
      </c>
      <c r="AZ54" s="133">
        <f t="shared" si="29"/>
        <v>0</v>
      </c>
      <c r="BA54" s="6"/>
      <c r="BB54" s="6"/>
      <c r="BC54" s="6"/>
      <c r="BD54" s="6"/>
      <c r="BE54" s="6"/>
      <c r="BF54" s="6"/>
      <c r="BG54" s="6"/>
      <c r="BH54" s="6"/>
      <c r="BI54" s="6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  <c r="CD54" s="142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  <c r="CO54" s="142"/>
      <c r="CP54" s="142"/>
      <c r="CQ54" s="142"/>
      <c r="CR54" s="142"/>
      <c r="CS54" s="142"/>
      <c r="CT54" s="142"/>
      <c r="CU54" s="142"/>
      <c r="CV54" s="142"/>
      <c r="CW54" s="142"/>
      <c r="CX54" s="142"/>
      <c r="CY54" s="142"/>
      <c r="CZ54" s="142"/>
      <c r="DA54" s="142"/>
      <c r="DB54" s="142"/>
      <c r="DC54" s="142"/>
      <c r="DD54" s="142"/>
      <c r="DE54" s="142"/>
      <c r="DF54" s="142"/>
      <c r="DG54" s="142"/>
      <c r="DH54" s="142"/>
      <c r="DI54" s="142"/>
      <c r="DJ54" s="142"/>
      <c r="DK54" s="142"/>
      <c r="DL54" s="142"/>
      <c r="DM54" s="142"/>
      <c r="DN54" s="142"/>
      <c r="DO54" s="142"/>
      <c r="DP54" s="142"/>
      <c r="DQ54" s="142"/>
      <c r="DR54" s="142"/>
      <c r="DS54" s="142"/>
      <c r="DT54" s="142"/>
      <c r="DU54" s="142"/>
      <c r="DV54" s="142"/>
      <c r="DW54" s="142"/>
      <c r="DX54" s="142"/>
      <c r="DY54" s="142"/>
      <c r="DZ54" s="142"/>
      <c r="EA54" s="142"/>
      <c r="EB54" s="142"/>
      <c r="EC54" s="142"/>
      <c r="ED54" s="142"/>
      <c r="EE54" s="142"/>
      <c r="EF54" s="142"/>
      <c r="EG54" s="142"/>
      <c r="EH54" s="142"/>
      <c r="EI54" s="142"/>
      <c r="EJ54" s="142"/>
      <c r="EK54" s="142"/>
      <c r="EL54" s="142"/>
      <c r="EM54" s="142"/>
      <c r="EN54" s="142"/>
      <c r="EO54" s="142"/>
      <c r="EP54" s="142"/>
      <c r="EQ54" s="142"/>
      <c r="ER54" s="142"/>
      <c r="ES54" s="142"/>
      <c r="ET54" s="142"/>
      <c r="EU54" s="142"/>
      <c r="EV54" s="142"/>
      <c r="EW54" s="142"/>
      <c r="EX54" s="142"/>
      <c r="EY54" s="142"/>
      <c r="EZ54" s="142"/>
      <c r="FA54" s="142"/>
      <c r="FB54" s="142"/>
      <c r="FC54" s="142"/>
      <c r="FD54" s="142"/>
      <c r="FE54" s="142"/>
      <c r="FF54" s="142"/>
      <c r="FG54" s="142"/>
      <c r="FH54" s="142"/>
      <c r="FI54" s="142"/>
      <c r="FJ54" s="142"/>
      <c r="FK54" s="142"/>
      <c r="FL54" s="142"/>
      <c r="FM54" s="142"/>
      <c r="FN54" s="142"/>
      <c r="FO54" s="142"/>
      <c r="FP54" s="142"/>
      <c r="FQ54" s="142"/>
      <c r="FR54" s="142"/>
      <c r="FS54" s="142"/>
      <c r="FT54" s="142"/>
      <c r="FU54" s="142"/>
      <c r="FV54" s="142"/>
      <c r="FW54" s="142"/>
      <c r="FX54" s="142"/>
      <c r="FY54" s="142"/>
      <c r="FZ54" s="142"/>
      <c r="GA54" s="142"/>
      <c r="GB54" s="142"/>
      <c r="GC54" s="142"/>
      <c r="GD54" s="142"/>
      <c r="GE54" s="142"/>
      <c r="GF54" s="142"/>
      <c r="GG54" s="142"/>
      <c r="GH54" s="142"/>
      <c r="GI54" s="142"/>
      <c r="GJ54" s="142"/>
      <c r="GK54" s="142"/>
      <c r="GL54" s="142"/>
      <c r="GM54" s="142"/>
    </row>
    <row r="55" spans="1:195" s="144" customFormat="1" ht="27" customHeight="1" thickBot="1" x14ac:dyDescent="0.3">
      <c r="A55" s="20" t="s">
        <v>16</v>
      </c>
      <c r="B55" s="130">
        <f>SUM(B22:B54)</f>
        <v>0</v>
      </c>
      <c r="C55" s="131">
        <f t="shared" ref="C55:AU55" si="30">SUM(C22:C54)</f>
        <v>0</v>
      </c>
      <c r="D55" s="132">
        <f t="shared" si="30"/>
        <v>0</v>
      </c>
      <c r="E55" s="131"/>
      <c r="F55" s="131">
        <f t="shared" si="30"/>
        <v>0</v>
      </c>
      <c r="G55" s="131">
        <f t="shared" si="30"/>
        <v>0</v>
      </c>
      <c r="H55" s="131">
        <f t="shared" si="30"/>
        <v>0</v>
      </c>
      <c r="I55" s="131"/>
      <c r="J55" s="130">
        <f t="shared" si="30"/>
        <v>0</v>
      </c>
      <c r="K55" s="131">
        <f t="shared" si="30"/>
        <v>0</v>
      </c>
      <c r="L55" s="132">
        <f t="shared" si="30"/>
        <v>0</v>
      </c>
      <c r="M55" s="131"/>
      <c r="N55" s="131">
        <f t="shared" si="30"/>
        <v>0</v>
      </c>
      <c r="O55" s="131">
        <f t="shared" si="30"/>
        <v>0</v>
      </c>
      <c r="P55" s="131">
        <f t="shared" si="30"/>
        <v>0</v>
      </c>
      <c r="Q55" s="131"/>
      <c r="R55" s="130">
        <f t="shared" si="30"/>
        <v>0</v>
      </c>
      <c r="S55" s="131">
        <f t="shared" si="30"/>
        <v>0</v>
      </c>
      <c r="T55" s="132">
        <f t="shared" si="30"/>
        <v>0</v>
      </c>
      <c r="U55" s="131"/>
      <c r="V55" s="131">
        <f t="shared" si="30"/>
        <v>0</v>
      </c>
      <c r="W55" s="131">
        <f t="shared" si="30"/>
        <v>0</v>
      </c>
      <c r="X55" s="131">
        <f t="shared" si="30"/>
        <v>0</v>
      </c>
      <c r="Y55" s="131"/>
      <c r="Z55" s="130">
        <f t="shared" si="30"/>
        <v>0</v>
      </c>
      <c r="AA55" s="131">
        <f t="shared" si="30"/>
        <v>0</v>
      </c>
      <c r="AB55" s="132">
        <f t="shared" si="30"/>
        <v>0</v>
      </c>
      <c r="AC55" s="131"/>
      <c r="AD55" s="131">
        <f t="shared" si="30"/>
        <v>0</v>
      </c>
      <c r="AE55" s="131">
        <f t="shared" si="30"/>
        <v>0</v>
      </c>
      <c r="AF55" s="131">
        <f t="shared" si="30"/>
        <v>0</v>
      </c>
      <c r="AG55" s="131"/>
      <c r="AH55" s="130">
        <f t="shared" si="30"/>
        <v>0</v>
      </c>
      <c r="AI55" s="131">
        <f t="shared" si="30"/>
        <v>0</v>
      </c>
      <c r="AJ55" s="132">
        <f t="shared" si="30"/>
        <v>0</v>
      </c>
      <c r="AK55" s="131"/>
      <c r="AL55" s="131">
        <f t="shared" si="30"/>
        <v>0</v>
      </c>
      <c r="AM55" s="131">
        <f t="shared" si="30"/>
        <v>0</v>
      </c>
      <c r="AN55" s="131">
        <f t="shared" si="30"/>
        <v>0</v>
      </c>
      <c r="AO55" s="131"/>
      <c r="AP55" s="130">
        <f t="shared" si="30"/>
        <v>0</v>
      </c>
      <c r="AQ55" s="131">
        <f t="shared" si="30"/>
        <v>0</v>
      </c>
      <c r="AR55" s="132">
        <f t="shared" si="30"/>
        <v>0</v>
      </c>
      <c r="AS55" s="131"/>
      <c r="AT55" s="131">
        <f t="shared" si="30"/>
        <v>0</v>
      </c>
      <c r="AU55" s="131">
        <f t="shared" si="30"/>
        <v>0</v>
      </c>
      <c r="AV55" s="131">
        <f>SUM(AV22:AV54)</f>
        <v>0</v>
      </c>
      <c r="AW55" s="131"/>
      <c r="AX55" s="130">
        <f t="shared" ref="AX55" si="31">SUM(AX22:AX54)</f>
        <v>0</v>
      </c>
      <c r="AY55" s="131">
        <f>SUM(AY22:AY54)</f>
        <v>0</v>
      </c>
      <c r="AZ55" s="131">
        <f t="shared" ref="AZ55" si="32">SUM(AZ22:AZ54)</f>
        <v>0</v>
      </c>
      <c r="BA55" s="143"/>
      <c r="BB55" s="143"/>
      <c r="BC55" s="143"/>
      <c r="BD55" s="143"/>
      <c r="BE55" s="143"/>
      <c r="BF55" s="143"/>
      <c r="BG55" s="143"/>
      <c r="BH55" s="143"/>
      <c r="BI55" s="143"/>
      <c r="BJ55" s="143"/>
      <c r="BK55" s="143"/>
      <c r="BL55" s="143"/>
      <c r="BM55" s="143"/>
      <c r="BN55" s="143"/>
      <c r="BO55" s="143"/>
      <c r="BP55" s="143"/>
      <c r="BQ55" s="143"/>
      <c r="BR55" s="143"/>
      <c r="BS55" s="143"/>
      <c r="BT55" s="143"/>
      <c r="BU55" s="143"/>
      <c r="BV55" s="143"/>
      <c r="BW55" s="143"/>
      <c r="BX55" s="143"/>
      <c r="BY55" s="143"/>
      <c r="BZ55" s="143"/>
      <c r="CA55" s="143"/>
      <c r="CB55" s="143"/>
      <c r="CC55" s="143"/>
      <c r="CD55" s="143"/>
      <c r="CE55" s="143"/>
      <c r="CF55" s="143"/>
      <c r="CG55" s="143"/>
      <c r="CH55" s="143"/>
      <c r="CI55" s="143"/>
      <c r="CJ55" s="143"/>
      <c r="CK55" s="143"/>
      <c r="CL55" s="143"/>
      <c r="CM55" s="143"/>
      <c r="CN55" s="143"/>
      <c r="CO55" s="143"/>
      <c r="CP55" s="143"/>
      <c r="CQ55" s="143"/>
      <c r="CR55" s="143"/>
      <c r="CS55" s="143"/>
      <c r="CT55" s="143"/>
      <c r="CU55" s="143"/>
      <c r="CV55" s="143"/>
      <c r="CW55" s="143"/>
      <c r="CX55" s="143"/>
      <c r="CY55" s="143"/>
      <c r="CZ55" s="143"/>
      <c r="DA55" s="143"/>
      <c r="DB55" s="143"/>
      <c r="DC55" s="143"/>
      <c r="DD55" s="143"/>
      <c r="DE55" s="143"/>
      <c r="DF55" s="143"/>
      <c r="DG55" s="143"/>
      <c r="DH55" s="143"/>
      <c r="DI55" s="143"/>
      <c r="DJ55" s="143"/>
      <c r="DK55" s="143"/>
      <c r="DL55" s="143"/>
      <c r="DM55" s="143"/>
      <c r="DN55" s="143"/>
      <c r="DO55" s="143"/>
      <c r="DP55" s="143"/>
      <c r="DQ55" s="143"/>
      <c r="DR55" s="143"/>
      <c r="DS55" s="143"/>
      <c r="DT55" s="143"/>
      <c r="DU55" s="143"/>
      <c r="DV55" s="143"/>
      <c r="DW55" s="143"/>
      <c r="DX55" s="143"/>
      <c r="DY55" s="143"/>
      <c r="DZ55" s="143"/>
      <c r="EA55" s="143"/>
      <c r="EB55" s="143"/>
      <c r="EC55" s="143"/>
      <c r="ED55" s="143"/>
      <c r="EE55" s="143"/>
      <c r="EF55" s="143"/>
      <c r="EG55" s="143"/>
      <c r="EH55" s="143"/>
      <c r="EI55" s="143"/>
      <c r="EJ55" s="143"/>
      <c r="EK55" s="143"/>
      <c r="EL55" s="143"/>
      <c r="EM55" s="143"/>
      <c r="EN55" s="143"/>
      <c r="EO55" s="143"/>
      <c r="EP55" s="143"/>
      <c r="EQ55" s="143"/>
      <c r="ER55" s="143"/>
      <c r="ES55" s="143"/>
      <c r="ET55" s="143"/>
      <c r="EU55" s="143"/>
      <c r="EV55" s="143"/>
      <c r="EW55" s="143"/>
      <c r="EX55" s="143"/>
      <c r="EY55" s="143"/>
      <c r="EZ55" s="143"/>
      <c r="FA55" s="143"/>
      <c r="FB55" s="143"/>
      <c r="FC55" s="143"/>
      <c r="FD55" s="143"/>
      <c r="FE55" s="143"/>
      <c r="FF55" s="143"/>
      <c r="FG55" s="143"/>
      <c r="FH55" s="143"/>
      <c r="FI55" s="143"/>
      <c r="FJ55" s="143"/>
      <c r="FK55" s="143"/>
      <c r="FL55" s="143"/>
      <c r="FM55" s="143"/>
      <c r="FN55" s="143"/>
      <c r="FO55" s="143"/>
      <c r="FP55" s="143"/>
      <c r="FQ55" s="143"/>
      <c r="FR55" s="143"/>
      <c r="FS55" s="143"/>
      <c r="FT55" s="143"/>
      <c r="FU55" s="143"/>
      <c r="FV55" s="143"/>
      <c r="FW55" s="143"/>
      <c r="FX55" s="143"/>
      <c r="FY55" s="143"/>
      <c r="FZ55" s="143"/>
      <c r="GA55" s="143"/>
      <c r="GB55" s="143"/>
      <c r="GC55" s="143"/>
      <c r="GD55" s="143"/>
      <c r="GE55" s="143"/>
      <c r="GF55" s="143"/>
      <c r="GG55" s="143"/>
      <c r="GH55" s="143"/>
      <c r="GI55" s="143"/>
      <c r="GJ55" s="143"/>
      <c r="GK55" s="143"/>
      <c r="GL55" s="143"/>
      <c r="GM55" s="143"/>
    </row>
    <row r="57" spans="1:195" x14ac:dyDescent="0.2">
      <c r="A57" s="27" t="s">
        <v>134</v>
      </c>
      <c r="B57" s="6">
        <f>B20+B55</f>
        <v>0</v>
      </c>
      <c r="C57" s="6">
        <f t="shared" ref="C57:AV57" si="33">C20+C55</f>
        <v>0</v>
      </c>
      <c r="D57" s="6">
        <f t="shared" si="33"/>
        <v>0</v>
      </c>
      <c r="E57" s="6"/>
      <c r="F57" s="6">
        <f t="shared" si="33"/>
        <v>0</v>
      </c>
      <c r="G57" s="6">
        <f t="shared" si="33"/>
        <v>0</v>
      </c>
      <c r="H57" s="6">
        <f t="shared" si="33"/>
        <v>0</v>
      </c>
      <c r="I57" s="6"/>
      <c r="J57" s="6">
        <f t="shared" si="33"/>
        <v>0</v>
      </c>
      <c r="K57" s="6">
        <f t="shared" si="33"/>
        <v>0</v>
      </c>
      <c r="L57" s="6">
        <f t="shared" si="33"/>
        <v>0</v>
      </c>
      <c r="M57" s="6"/>
      <c r="N57" s="6">
        <f t="shared" si="33"/>
        <v>0</v>
      </c>
      <c r="O57" s="6">
        <f t="shared" si="33"/>
        <v>0</v>
      </c>
      <c r="P57" s="6">
        <f t="shared" si="33"/>
        <v>0</v>
      </c>
      <c r="Q57" s="6"/>
      <c r="R57" s="6">
        <f t="shared" si="33"/>
        <v>0</v>
      </c>
      <c r="S57" s="6">
        <f t="shared" si="33"/>
        <v>0</v>
      </c>
      <c r="T57" s="6">
        <f t="shared" si="33"/>
        <v>0</v>
      </c>
      <c r="U57" s="6"/>
      <c r="V57" s="6">
        <f t="shared" si="33"/>
        <v>0</v>
      </c>
      <c r="W57" s="6">
        <f t="shared" si="33"/>
        <v>0</v>
      </c>
      <c r="X57" s="6">
        <f t="shared" si="33"/>
        <v>0</v>
      </c>
      <c r="Y57" s="6"/>
      <c r="Z57" s="6">
        <f t="shared" si="33"/>
        <v>0</v>
      </c>
      <c r="AA57" s="6">
        <f t="shared" si="33"/>
        <v>0</v>
      </c>
      <c r="AB57" s="6">
        <f t="shared" si="33"/>
        <v>0</v>
      </c>
      <c r="AC57" s="6"/>
      <c r="AD57" s="6">
        <f t="shared" si="33"/>
        <v>0</v>
      </c>
      <c r="AE57" s="6">
        <f t="shared" si="33"/>
        <v>0</v>
      </c>
      <c r="AF57" s="6">
        <f t="shared" si="33"/>
        <v>0</v>
      </c>
      <c r="AG57" s="6"/>
      <c r="AH57" s="6">
        <f t="shared" si="33"/>
        <v>0</v>
      </c>
      <c r="AI57" s="6">
        <f t="shared" si="33"/>
        <v>0</v>
      </c>
      <c r="AJ57" s="6">
        <f t="shared" si="33"/>
        <v>0</v>
      </c>
      <c r="AK57" s="6"/>
      <c r="AL57" s="6">
        <f t="shared" si="33"/>
        <v>0</v>
      </c>
      <c r="AM57" s="6">
        <f t="shared" si="33"/>
        <v>0</v>
      </c>
      <c r="AN57" s="6">
        <f t="shared" si="33"/>
        <v>0</v>
      </c>
      <c r="AO57" s="6"/>
      <c r="AP57" s="6">
        <f t="shared" si="33"/>
        <v>0</v>
      </c>
      <c r="AQ57" s="6">
        <f t="shared" si="33"/>
        <v>0</v>
      </c>
      <c r="AR57" s="6">
        <f t="shared" si="33"/>
        <v>0</v>
      </c>
      <c r="AS57" s="6"/>
      <c r="AT57" s="6">
        <f t="shared" si="33"/>
        <v>0</v>
      </c>
      <c r="AU57" s="6">
        <f t="shared" si="33"/>
        <v>0</v>
      </c>
      <c r="AV57" s="6">
        <f t="shared" si="33"/>
        <v>0</v>
      </c>
      <c r="AW57" s="6"/>
      <c r="AX57" s="6">
        <f t="shared" ref="AX57:AZ57" si="34">AX20+AX55</f>
        <v>0</v>
      </c>
      <c r="AY57" s="6">
        <f t="shared" si="34"/>
        <v>0</v>
      </c>
      <c r="AZ57" s="6">
        <f t="shared" si="34"/>
        <v>0</v>
      </c>
    </row>
    <row r="58" spans="1:195" x14ac:dyDescent="0.2">
      <c r="A58" s="27" t="s">
        <v>152</v>
      </c>
      <c r="C58" s="88">
        <f>IF(B57=0,0,C57/B57)</f>
        <v>0</v>
      </c>
      <c r="D58" s="88">
        <f>IF(B57=0,0,D57/B57)</f>
        <v>0</v>
      </c>
      <c r="E58" s="88"/>
      <c r="G58" s="88">
        <f>IF(F57=0,0,G57/F57)</f>
        <v>0</v>
      </c>
      <c r="H58" s="88">
        <f>IF(F57=0,0,H57/F57)</f>
        <v>0</v>
      </c>
      <c r="I58" s="88"/>
      <c r="K58" s="88">
        <f>IF(J57=0,0,K57/J57)</f>
        <v>0</v>
      </c>
      <c r="L58" s="88">
        <f>IF(J57=0,0,L57/J57)</f>
        <v>0</v>
      </c>
      <c r="M58" s="88"/>
      <c r="O58" s="88">
        <f>IF(N57=0,0,O57/N57)</f>
        <v>0</v>
      </c>
      <c r="P58" s="88">
        <f>IF(N57=0,0,P57/N57)</f>
        <v>0</v>
      </c>
      <c r="Q58" s="88"/>
      <c r="S58" s="88">
        <f>IF(R57=0,0,S57/R57)</f>
        <v>0</v>
      </c>
      <c r="T58" s="88">
        <f>IF(R57=0,0,T57/R57)</f>
        <v>0</v>
      </c>
      <c r="U58" s="88"/>
      <c r="W58" s="88">
        <f>IF(V57=0,0,W57/V57)</f>
        <v>0</v>
      </c>
      <c r="X58" s="88">
        <f>IF(V57=0,0,X57/V57)</f>
        <v>0</v>
      </c>
      <c r="Y58" s="88"/>
      <c r="AA58" s="88">
        <f>IF(Z57=0,0,AA57/Z57)</f>
        <v>0</v>
      </c>
      <c r="AB58" s="88">
        <f>IF(Z57=0,0,AB57/Z57)</f>
        <v>0</v>
      </c>
      <c r="AC58" s="88"/>
      <c r="AE58" s="88">
        <f>IF(AD57=0,0,AE57/AD57)</f>
        <v>0</v>
      </c>
      <c r="AF58" s="88">
        <f>IF(AD57=0,0,AF57/AD57)</f>
        <v>0</v>
      </c>
      <c r="AG58" s="88"/>
      <c r="AI58" s="88">
        <f>IF(AH57=0,0,AI57/AH57)</f>
        <v>0</v>
      </c>
      <c r="AJ58" s="88">
        <f>IF(AH57=0,0,AJ57/AH57)</f>
        <v>0</v>
      </c>
      <c r="AK58" s="88"/>
      <c r="AM58" s="88">
        <f>IF(AL57=0,0,AM57/AL57)</f>
        <v>0</v>
      </c>
      <c r="AN58" s="88">
        <f>IF(AL57=0,0,AN57/AL57)</f>
        <v>0</v>
      </c>
      <c r="AO58" s="88"/>
      <c r="AQ58" s="88">
        <f>IF(AP57=0,0,AQ57/AP57)</f>
        <v>0</v>
      </c>
      <c r="AR58" s="88">
        <f>IF(AP57=0,0,AR57/AP57)</f>
        <v>0</v>
      </c>
      <c r="AS58" s="88"/>
      <c r="AU58" s="88">
        <f>IF(AT57=0,0,AU57/AT57)</f>
        <v>0</v>
      </c>
      <c r="AV58" s="88">
        <f>IF(AT57=0,0,AV57/AT57)</f>
        <v>0</v>
      </c>
      <c r="AW58" s="88"/>
      <c r="AY58" s="88">
        <f>IF(AX57=0,0,AY57/AX57)</f>
        <v>0</v>
      </c>
      <c r="AZ58" s="88">
        <f>IF(AX57=0,0,AZ57/AX57)</f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Q405"/>
  <sheetViews>
    <sheetView zoomScale="90" zoomScaleNormal="90" workbookViewId="0">
      <pane xSplit="1" ySplit="2" topLeftCell="G74" activePane="bottomRight" state="frozen"/>
      <selection pane="topRight" activeCell="B1" sqref="B1"/>
      <selection pane="bottomLeft" activeCell="A3" sqref="A3"/>
      <selection pane="bottomRight" activeCell="X75" sqref="X75"/>
    </sheetView>
  </sheetViews>
  <sheetFormatPr defaultRowHeight="15" x14ac:dyDescent="0.25"/>
  <cols>
    <col min="1" max="1" width="10.7109375" style="180" bestFit="1" customWidth="1"/>
    <col min="2" max="2" width="16.85546875" bestFit="1" customWidth="1"/>
    <col min="3" max="3" width="16.85546875" customWidth="1"/>
    <col min="4" max="4" width="12.85546875" bestFit="1" customWidth="1"/>
    <col min="5" max="5" width="12.85546875" customWidth="1"/>
    <col min="6" max="6" width="13.28515625" bestFit="1" customWidth="1"/>
    <col min="7" max="8" width="13.28515625" customWidth="1"/>
    <col min="9" max="9" width="12.7109375" bestFit="1" customWidth="1"/>
    <col min="15" max="15" width="9.7109375" customWidth="1"/>
    <col min="17" max="17" width="9.28515625" bestFit="1" customWidth="1"/>
    <col min="18" max="18" width="9.42578125" customWidth="1"/>
    <col min="19" max="19" width="10.7109375" customWidth="1"/>
    <col min="21" max="21" width="10.85546875" bestFit="1" customWidth="1"/>
    <col min="22" max="23" width="11.5703125" customWidth="1"/>
    <col min="24" max="25" width="9.5703125" bestFit="1" customWidth="1"/>
  </cols>
  <sheetData>
    <row r="2" spans="1:25" x14ac:dyDescent="0.25">
      <c r="B2" t="s">
        <v>216</v>
      </c>
      <c r="C2" t="s">
        <v>217</v>
      </c>
      <c r="D2" t="s">
        <v>218</v>
      </c>
      <c r="E2" t="s">
        <v>219</v>
      </c>
      <c r="F2" t="s">
        <v>220</v>
      </c>
      <c r="G2" t="s">
        <v>221</v>
      </c>
      <c r="H2" t="s">
        <v>222</v>
      </c>
      <c r="I2" t="s">
        <v>223</v>
      </c>
      <c r="J2" t="s">
        <v>224</v>
      </c>
      <c r="K2" t="s">
        <v>225</v>
      </c>
      <c r="L2" t="s">
        <v>226</v>
      </c>
      <c r="M2" t="s">
        <v>227</v>
      </c>
      <c r="N2" t="s">
        <v>228</v>
      </c>
      <c r="O2" t="s">
        <v>229</v>
      </c>
      <c r="P2" t="s">
        <v>230</v>
      </c>
      <c r="Q2" t="s">
        <v>231</v>
      </c>
      <c r="R2" t="s">
        <v>232</v>
      </c>
      <c r="S2" t="s">
        <v>233</v>
      </c>
      <c r="T2" t="s">
        <v>234</v>
      </c>
      <c r="U2" t="s">
        <v>235</v>
      </c>
      <c r="V2" t="s">
        <v>236</v>
      </c>
      <c r="W2" t="s">
        <v>237</v>
      </c>
      <c r="X2" t="s">
        <v>238</v>
      </c>
      <c r="Y2" t="s">
        <v>239</v>
      </c>
    </row>
    <row r="3" spans="1:25" x14ac:dyDescent="0.25"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</row>
    <row r="4" spans="1:25" x14ac:dyDescent="0.25">
      <c r="A4" s="180">
        <v>43466</v>
      </c>
      <c r="B4" s="181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>
        <f>SUM(B4:X4)</f>
        <v>0</v>
      </c>
    </row>
    <row r="5" spans="1:25" x14ac:dyDescent="0.25">
      <c r="A5" s="180">
        <v>43467</v>
      </c>
      <c r="B5" s="181"/>
      <c r="C5" s="181"/>
      <c r="D5" s="181"/>
      <c r="E5" s="181"/>
      <c r="F5" s="181"/>
      <c r="G5" s="181"/>
      <c r="H5" s="181"/>
      <c r="I5" s="181"/>
      <c r="J5" s="181">
        <v>6.12</v>
      </c>
      <c r="K5" s="181">
        <v>20.9</v>
      </c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>
        <f t="shared" ref="Y5:Y68" si="0">SUM(B5:X5)</f>
        <v>27.02</v>
      </c>
    </row>
    <row r="6" spans="1:25" x14ac:dyDescent="0.25">
      <c r="A6" s="180">
        <v>43468</v>
      </c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>
        <f t="shared" si="0"/>
        <v>0</v>
      </c>
    </row>
    <row r="7" spans="1:25" x14ac:dyDescent="0.25">
      <c r="A7" s="180">
        <v>43469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>
        <f t="shared" si="0"/>
        <v>0</v>
      </c>
    </row>
    <row r="8" spans="1:25" x14ac:dyDescent="0.25">
      <c r="A8" s="180">
        <v>43470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>
        <f t="shared" si="0"/>
        <v>0</v>
      </c>
    </row>
    <row r="9" spans="1:25" x14ac:dyDescent="0.25">
      <c r="A9" s="180">
        <v>43471</v>
      </c>
      <c r="B9" s="181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>
        <f t="shared" si="0"/>
        <v>0</v>
      </c>
    </row>
    <row r="10" spans="1:25" x14ac:dyDescent="0.25">
      <c r="A10" s="180">
        <v>43472</v>
      </c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>
        <f t="shared" si="0"/>
        <v>0</v>
      </c>
    </row>
    <row r="11" spans="1:25" x14ac:dyDescent="0.25">
      <c r="A11" s="180">
        <v>43473</v>
      </c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>
        <f t="shared" si="0"/>
        <v>0</v>
      </c>
    </row>
    <row r="12" spans="1:25" x14ac:dyDescent="0.25">
      <c r="A12" s="180">
        <v>43474</v>
      </c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>
        <f t="shared" si="0"/>
        <v>0</v>
      </c>
    </row>
    <row r="13" spans="1:25" x14ac:dyDescent="0.25">
      <c r="A13" s="180">
        <v>43475</v>
      </c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>
        <f t="shared" si="0"/>
        <v>0</v>
      </c>
    </row>
    <row r="14" spans="1:25" x14ac:dyDescent="0.25">
      <c r="A14" s="180">
        <v>43476</v>
      </c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>
        <f t="shared" si="0"/>
        <v>0</v>
      </c>
    </row>
    <row r="15" spans="1:25" s="182" customFormat="1" x14ac:dyDescent="0.25">
      <c r="A15" s="180">
        <v>43477</v>
      </c>
      <c r="B15" s="181"/>
      <c r="C15" s="181"/>
      <c r="D15" s="181"/>
      <c r="E15" s="181"/>
      <c r="F15" s="181"/>
      <c r="G15" s="181"/>
      <c r="H15" s="181"/>
      <c r="I15" s="181">
        <v>75</v>
      </c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>
        <f t="shared" si="0"/>
        <v>75</v>
      </c>
    </row>
    <row r="16" spans="1:25" x14ac:dyDescent="0.25">
      <c r="A16" s="180">
        <v>43478</v>
      </c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>
        <f t="shared" si="0"/>
        <v>0</v>
      </c>
    </row>
    <row r="17" spans="1:25" x14ac:dyDescent="0.25">
      <c r="A17" s="180">
        <v>43479</v>
      </c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>
        <f t="shared" si="0"/>
        <v>0</v>
      </c>
    </row>
    <row r="18" spans="1:25" x14ac:dyDescent="0.25">
      <c r="A18" s="180">
        <v>43480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>
        <v>7.0000000000000007E-2</v>
      </c>
      <c r="Y18" s="181">
        <f t="shared" si="0"/>
        <v>7.0000000000000007E-2</v>
      </c>
    </row>
    <row r="19" spans="1:25" x14ac:dyDescent="0.25">
      <c r="A19" s="180">
        <v>43481</v>
      </c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>
        <f>0.75+4</f>
        <v>4.75</v>
      </c>
      <c r="Y19" s="181">
        <f t="shared" si="0"/>
        <v>4.75</v>
      </c>
    </row>
    <row r="20" spans="1:25" x14ac:dyDescent="0.25">
      <c r="A20" s="180">
        <v>43482</v>
      </c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>
        <f t="shared" si="0"/>
        <v>0</v>
      </c>
    </row>
    <row r="21" spans="1:25" x14ac:dyDescent="0.25">
      <c r="A21" s="180">
        <v>43483</v>
      </c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>
        <f t="shared" si="0"/>
        <v>0</v>
      </c>
    </row>
    <row r="22" spans="1:25" x14ac:dyDescent="0.25">
      <c r="A22" s="180">
        <v>43484</v>
      </c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>
        <f t="shared" si="0"/>
        <v>0</v>
      </c>
    </row>
    <row r="23" spans="1:25" x14ac:dyDescent="0.25">
      <c r="A23" s="180">
        <v>43485</v>
      </c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>
        <f t="shared" si="0"/>
        <v>0</v>
      </c>
    </row>
    <row r="24" spans="1:25" x14ac:dyDescent="0.25">
      <c r="A24" s="180">
        <v>43486</v>
      </c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>
        <f t="shared" si="0"/>
        <v>0</v>
      </c>
    </row>
    <row r="25" spans="1:25" x14ac:dyDescent="0.25">
      <c r="A25" s="180">
        <v>43487</v>
      </c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>
        <f t="shared" si="0"/>
        <v>0</v>
      </c>
    </row>
    <row r="26" spans="1:25" x14ac:dyDescent="0.25">
      <c r="A26" s="180">
        <v>43488</v>
      </c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>
        <f t="shared" si="0"/>
        <v>0</v>
      </c>
    </row>
    <row r="27" spans="1:25" x14ac:dyDescent="0.25">
      <c r="A27" s="180">
        <v>43489</v>
      </c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>
        <f t="shared" si="0"/>
        <v>0</v>
      </c>
    </row>
    <row r="28" spans="1:25" s="182" customFormat="1" x14ac:dyDescent="0.25">
      <c r="A28" s="180">
        <v>43490</v>
      </c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>
        <f t="shared" si="0"/>
        <v>0</v>
      </c>
    </row>
    <row r="29" spans="1:25" x14ac:dyDescent="0.25">
      <c r="A29" s="180">
        <v>43491</v>
      </c>
      <c r="B29" s="181"/>
      <c r="C29" s="181"/>
      <c r="D29" s="181"/>
      <c r="E29" s="181"/>
      <c r="F29" s="181">
        <v>236.75</v>
      </c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>
        <v>1.84</v>
      </c>
      <c r="Y29" s="181">
        <f t="shared" si="0"/>
        <v>238.59</v>
      </c>
    </row>
    <row r="30" spans="1:25" x14ac:dyDescent="0.25">
      <c r="A30" s="180">
        <v>43492</v>
      </c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>
        <f>4+4.09</f>
        <v>8.09</v>
      </c>
      <c r="Y30" s="181">
        <f t="shared" si="0"/>
        <v>8.09</v>
      </c>
    </row>
    <row r="31" spans="1:25" x14ac:dyDescent="0.25">
      <c r="A31" s="180">
        <v>43493</v>
      </c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>
        <v>0.48</v>
      </c>
      <c r="Y31" s="181">
        <f t="shared" si="0"/>
        <v>0.48</v>
      </c>
    </row>
    <row r="32" spans="1:25" x14ac:dyDescent="0.25">
      <c r="A32" s="180">
        <v>43494</v>
      </c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>
        <f>130+8.5+6.23</f>
        <v>144.72999999999999</v>
      </c>
      <c r="Y32" s="181">
        <f t="shared" si="0"/>
        <v>144.72999999999999</v>
      </c>
    </row>
    <row r="33" spans="1:41" x14ac:dyDescent="0.25">
      <c r="A33" s="180">
        <v>43495</v>
      </c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>
        <v>4</v>
      </c>
      <c r="Y33" s="181">
        <f t="shared" si="0"/>
        <v>4</v>
      </c>
    </row>
    <row r="34" spans="1:41" x14ac:dyDescent="0.25">
      <c r="A34" s="180">
        <v>43496</v>
      </c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>
        <f t="shared" si="0"/>
        <v>0</v>
      </c>
    </row>
    <row r="35" spans="1:41" x14ac:dyDescent="0.25"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>
        <f t="shared" si="0"/>
        <v>0</v>
      </c>
    </row>
    <row r="36" spans="1:41" x14ac:dyDescent="0.25">
      <c r="B36" s="183">
        <f>SUM(B3:B35)</f>
        <v>0</v>
      </c>
      <c r="C36" s="183">
        <f>SUM(C3:C35)</f>
        <v>0</v>
      </c>
      <c r="D36" s="183">
        <f>SUM(D3:D35)</f>
        <v>0</v>
      </c>
      <c r="E36" s="183">
        <f t="shared" ref="E36:X36" si="1">SUM(E3:E35)</f>
        <v>0</v>
      </c>
      <c r="F36" s="183">
        <f t="shared" si="1"/>
        <v>236.75</v>
      </c>
      <c r="G36" s="183">
        <f>SUM(G3:G35)</f>
        <v>0</v>
      </c>
      <c r="H36" s="183">
        <f t="shared" si="1"/>
        <v>0</v>
      </c>
      <c r="I36" s="183">
        <f t="shared" si="1"/>
        <v>75</v>
      </c>
      <c r="J36" s="183">
        <f t="shared" si="1"/>
        <v>6.12</v>
      </c>
      <c r="K36" s="183">
        <f t="shared" si="1"/>
        <v>20.9</v>
      </c>
      <c r="L36" s="183">
        <f t="shared" si="1"/>
        <v>0</v>
      </c>
      <c r="M36" s="183">
        <f t="shared" si="1"/>
        <v>0</v>
      </c>
      <c r="N36" s="183">
        <f t="shared" si="1"/>
        <v>0</v>
      </c>
      <c r="O36" s="183">
        <f t="shared" si="1"/>
        <v>0</v>
      </c>
      <c r="P36" s="183">
        <f t="shared" si="1"/>
        <v>0</v>
      </c>
      <c r="Q36" s="183">
        <f t="shared" si="1"/>
        <v>0</v>
      </c>
      <c r="R36" s="183">
        <f t="shared" si="1"/>
        <v>0</v>
      </c>
      <c r="S36" s="183">
        <f>SUM(S3:S35)</f>
        <v>0</v>
      </c>
      <c r="T36" s="183">
        <f>SUM(T3:T35)</f>
        <v>0</v>
      </c>
      <c r="U36" s="183">
        <f>SUM(U3:U35)</f>
        <v>0</v>
      </c>
      <c r="V36" s="183">
        <f>SUM(V3:V35)</f>
        <v>0</v>
      </c>
      <c r="W36" s="183">
        <f>SUM(W3:W35)</f>
        <v>0</v>
      </c>
      <c r="X36" s="183">
        <f t="shared" si="1"/>
        <v>163.95999999999998</v>
      </c>
      <c r="Y36" s="183">
        <f>SUM(Y3:Y35)</f>
        <v>502.73</v>
      </c>
    </row>
    <row r="37" spans="1:41" x14ac:dyDescent="0.25"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>
        <f t="shared" si="0"/>
        <v>0</v>
      </c>
    </row>
    <row r="38" spans="1:41" x14ac:dyDescent="0.25">
      <c r="A38" s="180">
        <v>43497</v>
      </c>
      <c r="B38" s="184"/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1">
        <f t="shared" si="0"/>
        <v>0</v>
      </c>
    </row>
    <row r="39" spans="1:41" x14ac:dyDescent="0.25">
      <c r="A39" s="180">
        <v>43498</v>
      </c>
      <c r="B39" s="184"/>
      <c r="C39" s="184"/>
      <c r="D39" s="184"/>
      <c r="E39" s="184"/>
      <c r="F39" s="184"/>
      <c r="G39" s="184"/>
      <c r="H39" s="184"/>
      <c r="I39" s="184"/>
      <c r="J39" s="184">
        <v>48.37</v>
      </c>
      <c r="K39" s="184">
        <v>245.87</v>
      </c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1">
        <f t="shared" si="0"/>
        <v>294.24</v>
      </c>
    </row>
    <row r="40" spans="1:41" x14ac:dyDescent="0.25">
      <c r="A40" s="180">
        <v>43499</v>
      </c>
      <c r="B40" s="184"/>
      <c r="C40" s="184"/>
      <c r="D40" s="184"/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>
        <v>1.51</v>
      </c>
      <c r="Y40" s="181">
        <f t="shared" si="0"/>
        <v>1.51</v>
      </c>
    </row>
    <row r="41" spans="1:41" x14ac:dyDescent="0.25">
      <c r="A41" s="180">
        <v>43500</v>
      </c>
      <c r="B41" s="184"/>
      <c r="C41" s="184"/>
      <c r="D41" s="184"/>
      <c r="E41" s="184"/>
      <c r="F41" s="184"/>
      <c r="G41" s="184"/>
      <c r="H41" s="184"/>
      <c r="I41" s="184"/>
      <c r="J41" s="184"/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>
        <v>4</v>
      </c>
      <c r="Y41" s="181">
        <f t="shared" si="0"/>
        <v>4</v>
      </c>
    </row>
    <row r="42" spans="1:41" x14ac:dyDescent="0.25">
      <c r="A42" s="180">
        <v>43501</v>
      </c>
      <c r="B42" s="184"/>
      <c r="C42" s="184"/>
      <c r="D42" s="184"/>
      <c r="E42" s="184"/>
      <c r="F42" s="184"/>
      <c r="G42" s="184"/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1">
        <f t="shared" si="0"/>
        <v>0</v>
      </c>
    </row>
    <row r="43" spans="1:41" x14ac:dyDescent="0.25">
      <c r="A43" s="180">
        <v>43502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1">
        <f t="shared" si="0"/>
        <v>0</v>
      </c>
    </row>
    <row r="44" spans="1:41" x14ac:dyDescent="0.25">
      <c r="A44" s="180">
        <v>43503</v>
      </c>
      <c r="B44" s="184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1">
        <f t="shared" si="0"/>
        <v>0</v>
      </c>
    </row>
    <row r="45" spans="1:41" x14ac:dyDescent="0.25">
      <c r="A45" s="180">
        <v>43504</v>
      </c>
      <c r="B45" s="184"/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1">
        <f t="shared" si="0"/>
        <v>0</v>
      </c>
    </row>
    <row r="46" spans="1:41" x14ac:dyDescent="0.25">
      <c r="A46" s="180">
        <v>43505</v>
      </c>
      <c r="B46" s="184"/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1">
        <f t="shared" si="0"/>
        <v>0</v>
      </c>
      <c r="AA46" s="182"/>
    </row>
    <row r="47" spans="1:41" x14ac:dyDescent="0.25">
      <c r="A47" s="180">
        <v>43506</v>
      </c>
      <c r="B47" s="184"/>
      <c r="C47" s="184"/>
      <c r="D47" s="184"/>
      <c r="E47" s="184"/>
      <c r="F47" s="184"/>
      <c r="G47" s="184"/>
      <c r="H47" s="184"/>
      <c r="I47" s="184">
        <v>75</v>
      </c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1">
        <f t="shared" si="0"/>
        <v>75</v>
      </c>
    </row>
    <row r="48" spans="1:41" x14ac:dyDescent="0.25">
      <c r="A48" s="180">
        <v>43507</v>
      </c>
      <c r="B48" s="184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1">
        <f t="shared" si="0"/>
        <v>0</v>
      </c>
      <c r="Z48" s="181"/>
      <c r="AA48" s="181"/>
      <c r="AB48" s="181"/>
      <c r="AC48" s="181"/>
      <c r="AD48" s="181"/>
      <c r="AE48" s="181"/>
      <c r="AF48" s="181"/>
      <c r="AG48" s="181"/>
      <c r="AH48" s="181"/>
      <c r="AI48" s="181"/>
      <c r="AJ48" s="181"/>
      <c r="AK48" s="181"/>
      <c r="AL48" s="181"/>
      <c r="AM48" s="181"/>
      <c r="AN48" s="181"/>
      <c r="AO48" s="181"/>
    </row>
    <row r="49" spans="1:43" x14ac:dyDescent="0.25">
      <c r="A49" s="180">
        <v>43508</v>
      </c>
      <c r="B49" s="184"/>
      <c r="C49" s="184"/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>
        <v>0.44</v>
      </c>
      <c r="Y49" s="181">
        <f t="shared" si="0"/>
        <v>0.44</v>
      </c>
      <c r="Z49" s="183"/>
      <c r="AA49" s="183"/>
      <c r="AB49" s="183"/>
      <c r="AC49" s="183"/>
      <c r="AD49" s="183"/>
      <c r="AE49" s="183"/>
      <c r="AF49" s="183"/>
      <c r="AG49" s="183"/>
      <c r="AH49" s="183"/>
      <c r="AI49" s="183"/>
      <c r="AJ49" s="183"/>
      <c r="AK49" s="183"/>
      <c r="AL49" s="183"/>
      <c r="AM49" s="183"/>
      <c r="AN49" s="183"/>
      <c r="AO49" s="183"/>
    </row>
    <row r="50" spans="1:43" x14ac:dyDescent="0.25">
      <c r="A50" s="180">
        <v>43509</v>
      </c>
      <c r="B50" s="184"/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>
        <v>2.67</v>
      </c>
      <c r="Y50" s="181">
        <f t="shared" si="0"/>
        <v>2.67</v>
      </c>
    </row>
    <row r="51" spans="1:43" x14ac:dyDescent="0.25">
      <c r="A51" s="180">
        <v>43510</v>
      </c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1">
        <f t="shared" si="0"/>
        <v>0</v>
      </c>
    </row>
    <row r="52" spans="1:43" x14ac:dyDescent="0.25">
      <c r="A52" s="180">
        <v>43511</v>
      </c>
      <c r="B52" s="184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1">
        <f t="shared" si="0"/>
        <v>0</v>
      </c>
      <c r="Z52" s="184"/>
      <c r="AA52" s="184"/>
      <c r="AB52" s="184"/>
      <c r="AC52" s="184"/>
      <c r="AD52" s="184"/>
      <c r="AE52" s="184"/>
      <c r="AF52" s="184"/>
      <c r="AG52" s="184"/>
      <c r="AH52" s="184"/>
      <c r="AI52" s="184"/>
      <c r="AJ52" s="184"/>
      <c r="AK52" s="184"/>
      <c r="AL52" s="184"/>
      <c r="AM52" s="184"/>
      <c r="AN52" s="184"/>
      <c r="AO52" s="181"/>
    </row>
    <row r="53" spans="1:43" x14ac:dyDescent="0.25">
      <c r="A53" s="180">
        <v>43512</v>
      </c>
      <c r="B53" s="184"/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1">
        <f t="shared" si="0"/>
        <v>0</v>
      </c>
      <c r="Z53" s="184"/>
      <c r="AA53" s="184"/>
      <c r="AB53" s="184"/>
      <c r="AC53" s="184"/>
      <c r="AD53" s="184"/>
      <c r="AE53" s="184"/>
      <c r="AF53" s="184"/>
      <c r="AG53" s="184"/>
      <c r="AH53" s="184"/>
      <c r="AI53" s="184"/>
      <c r="AJ53" s="184"/>
      <c r="AK53" s="184"/>
      <c r="AL53" s="184"/>
      <c r="AM53" s="184"/>
      <c r="AN53" s="184"/>
      <c r="AO53" s="181"/>
    </row>
    <row r="54" spans="1:43" x14ac:dyDescent="0.25">
      <c r="A54" s="180">
        <v>43513</v>
      </c>
      <c r="B54" s="184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1">
        <f t="shared" si="0"/>
        <v>0</v>
      </c>
      <c r="Z54" s="184"/>
      <c r="AA54" s="184"/>
      <c r="AB54" s="184"/>
      <c r="AC54" s="184"/>
      <c r="AD54" s="184"/>
      <c r="AE54" s="184"/>
      <c r="AF54" s="184"/>
      <c r="AG54" s="184"/>
      <c r="AH54" s="184"/>
      <c r="AI54" s="184"/>
      <c r="AJ54" s="184"/>
      <c r="AK54" s="184"/>
      <c r="AL54" s="184"/>
      <c r="AM54" s="184"/>
      <c r="AN54" s="184"/>
      <c r="AO54" s="181"/>
    </row>
    <row r="55" spans="1:43" x14ac:dyDescent="0.25">
      <c r="A55" s="180">
        <v>43514</v>
      </c>
      <c r="B55" s="184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1">
        <f t="shared" si="0"/>
        <v>0</v>
      </c>
      <c r="Z55" s="184"/>
      <c r="AA55" s="184"/>
      <c r="AB55" s="184"/>
      <c r="AC55" s="184"/>
      <c r="AD55" s="184"/>
      <c r="AE55" s="184"/>
      <c r="AF55" s="184"/>
      <c r="AG55" s="184"/>
      <c r="AH55" s="184"/>
      <c r="AI55" s="184"/>
      <c r="AJ55" s="184"/>
      <c r="AK55" s="184"/>
      <c r="AL55" s="184"/>
      <c r="AM55" s="184"/>
      <c r="AN55" s="184"/>
      <c r="AO55" s="181"/>
    </row>
    <row r="56" spans="1:43" x14ac:dyDescent="0.25">
      <c r="A56" s="180">
        <v>43515</v>
      </c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1">
        <f t="shared" si="0"/>
        <v>0</v>
      </c>
      <c r="Z56" s="184"/>
      <c r="AA56" s="184"/>
      <c r="AB56" s="184"/>
      <c r="AC56" s="184"/>
      <c r="AD56" s="184"/>
      <c r="AE56" s="184"/>
      <c r="AF56" s="184"/>
      <c r="AG56" s="184"/>
      <c r="AH56" s="184"/>
      <c r="AI56" s="184"/>
      <c r="AJ56" s="184"/>
      <c r="AK56" s="184"/>
      <c r="AL56" s="184"/>
      <c r="AM56" s="184"/>
      <c r="AN56" s="184"/>
      <c r="AO56" s="181"/>
    </row>
    <row r="57" spans="1:43" x14ac:dyDescent="0.25">
      <c r="A57" s="180">
        <v>43516</v>
      </c>
      <c r="B57" s="184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>
        <f>8.5+8.5+1.33</f>
        <v>18.329999999999998</v>
      </c>
      <c r="Y57" s="181">
        <f t="shared" si="0"/>
        <v>18.329999999999998</v>
      </c>
      <c r="Z57" s="184"/>
      <c r="AA57" s="184"/>
      <c r="AB57" s="184"/>
      <c r="AC57" s="184"/>
      <c r="AD57" s="184"/>
      <c r="AE57" s="184"/>
      <c r="AF57" s="184"/>
      <c r="AG57" s="184"/>
      <c r="AH57" s="184"/>
      <c r="AI57" s="184"/>
      <c r="AJ57" s="184"/>
      <c r="AK57" s="184"/>
      <c r="AL57" s="184"/>
      <c r="AM57" s="184"/>
      <c r="AN57" s="184"/>
      <c r="AO57" s="181"/>
    </row>
    <row r="58" spans="1:43" x14ac:dyDescent="0.25">
      <c r="A58" s="180">
        <v>43517</v>
      </c>
      <c r="B58" s="184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1">
        <f t="shared" si="0"/>
        <v>0</v>
      </c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1"/>
    </row>
    <row r="59" spans="1:43" x14ac:dyDescent="0.25">
      <c r="A59" s="180">
        <v>43518</v>
      </c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1">
        <f t="shared" si="0"/>
        <v>0</v>
      </c>
      <c r="Z59" s="184"/>
      <c r="AA59" s="184"/>
      <c r="AB59" s="184"/>
      <c r="AC59" s="184"/>
      <c r="AD59" s="184"/>
      <c r="AE59" s="184"/>
      <c r="AF59" s="184"/>
      <c r="AG59" s="184"/>
      <c r="AH59" s="184"/>
      <c r="AI59" s="184"/>
      <c r="AJ59" s="184"/>
      <c r="AK59" s="184"/>
      <c r="AL59" s="184"/>
      <c r="AM59" s="184"/>
      <c r="AN59" s="184"/>
      <c r="AO59" s="181"/>
    </row>
    <row r="60" spans="1:43" x14ac:dyDescent="0.25">
      <c r="A60" s="180">
        <v>43519</v>
      </c>
      <c r="B60" s="184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>
        <f>0.13+0.96</f>
        <v>1.0899999999999999</v>
      </c>
      <c r="Y60" s="181">
        <f t="shared" si="0"/>
        <v>1.0899999999999999</v>
      </c>
      <c r="Z60" s="184"/>
      <c r="AA60" s="184"/>
      <c r="AB60" s="184"/>
      <c r="AC60" s="184"/>
      <c r="AD60" s="184"/>
      <c r="AE60" s="184"/>
      <c r="AF60" s="184"/>
      <c r="AG60" s="184"/>
      <c r="AH60" s="184"/>
      <c r="AI60" s="184"/>
      <c r="AJ60" s="184"/>
      <c r="AK60" s="184"/>
      <c r="AL60" s="184"/>
      <c r="AM60" s="184"/>
      <c r="AN60" s="184"/>
      <c r="AO60" s="181"/>
    </row>
    <row r="61" spans="1:43" x14ac:dyDescent="0.25">
      <c r="A61" s="180">
        <v>43520</v>
      </c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>
        <v>8.5</v>
      </c>
      <c r="Y61" s="181">
        <f t="shared" si="0"/>
        <v>8.5</v>
      </c>
      <c r="Z61" s="184"/>
      <c r="AA61" s="184"/>
      <c r="AB61" s="184"/>
      <c r="AC61" s="184"/>
      <c r="AD61" s="184"/>
      <c r="AE61" s="184"/>
      <c r="AF61" s="184"/>
      <c r="AG61" s="184"/>
      <c r="AH61" s="184"/>
      <c r="AI61" s="184"/>
      <c r="AJ61" s="184"/>
      <c r="AK61" s="184"/>
      <c r="AL61" s="184"/>
      <c r="AM61" s="184"/>
      <c r="AN61" s="184"/>
      <c r="AO61" s="181"/>
    </row>
    <row r="62" spans="1:43" x14ac:dyDescent="0.25">
      <c r="A62" s="180">
        <v>43521</v>
      </c>
      <c r="B62" s="184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>
        <v>236.75</v>
      </c>
      <c r="V62" s="184"/>
      <c r="W62" s="184"/>
      <c r="X62" s="184">
        <v>0.26</v>
      </c>
      <c r="Y62" s="181">
        <f t="shared" si="0"/>
        <v>237.01</v>
      </c>
      <c r="Z62" s="184"/>
      <c r="AA62" s="184"/>
      <c r="AB62" s="184"/>
      <c r="AC62" s="184"/>
      <c r="AD62" s="184"/>
      <c r="AE62" s="184"/>
      <c r="AF62" s="184"/>
      <c r="AG62" s="184"/>
      <c r="AH62" s="184"/>
      <c r="AI62" s="184"/>
      <c r="AJ62" s="184"/>
      <c r="AK62" s="184"/>
      <c r="AL62" s="184"/>
      <c r="AM62" s="184"/>
      <c r="AN62" s="184"/>
      <c r="AO62" s="181"/>
    </row>
    <row r="63" spans="1:43" x14ac:dyDescent="0.25">
      <c r="A63" s="180">
        <v>43522</v>
      </c>
      <c r="B63" s="184"/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1">
        <f t="shared" si="0"/>
        <v>0</v>
      </c>
      <c r="Z63" s="184"/>
      <c r="AA63" s="184"/>
      <c r="AB63" s="184"/>
      <c r="AC63" s="184"/>
      <c r="AD63" s="184"/>
      <c r="AE63" s="184"/>
      <c r="AF63" s="184"/>
      <c r="AG63" s="184"/>
      <c r="AH63" s="184"/>
      <c r="AI63" s="184"/>
      <c r="AJ63" s="184"/>
      <c r="AK63" s="184"/>
      <c r="AL63" s="184"/>
      <c r="AM63" s="184"/>
      <c r="AN63" s="184"/>
      <c r="AO63" s="181"/>
    </row>
    <row r="64" spans="1:43" x14ac:dyDescent="0.25">
      <c r="A64" s="180">
        <v>43523</v>
      </c>
      <c r="B64" s="184"/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1">
        <f t="shared" si="0"/>
        <v>0</v>
      </c>
      <c r="Z64" s="184"/>
      <c r="AA64" s="184"/>
      <c r="AB64" s="184"/>
      <c r="AC64" s="184"/>
      <c r="AD64" s="184"/>
      <c r="AE64" s="184"/>
      <c r="AF64" s="184"/>
      <c r="AG64" s="184"/>
      <c r="AH64" s="184"/>
      <c r="AI64" s="184"/>
      <c r="AJ64" s="184"/>
      <c r="AK64" s="184"/>
      <c r="AL64" s="184"/>
      <c r="AM64" s="184"/>
      <c r="AN64" s="184"/>
      <c r="AO64" s="181"/>
      <c r="AQ64" s="182"/>
    </row>
    <row r="65" spans="1:41" x14ac:dyDescent="0.25">
      <c r="A65" s="180">
        <v>43524</v>
      </c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1">
        <f t="shared" si="0"/>
        <v>0</v>
      </c>
      <c r="Z65" s="184"/>
      <c r="AA65" s="184"/>
      <c r="AB65" s="184"/>
      <c r="AC65" s="184"/>
      <c r="AD65" s="184"/>
      <c r="AE65" s="184"/>
      <c r="AF65" s="184"/>
      <c r="AG65" s="184"/>
      <c r="AH65" s="184"/>
      <c r="AI65" s="184"/>
      <c r="AJ65" s="184"/>
      <c r="AK65" s="184"/>
      <c r="AL65" s="184"/>
      <c r="AM65" s="184"/>
      <c r="AN65" s="184"/>
      <c r="AO65" s="181"/>
    </row>
    <row r="66" spans="1:41" x14ac:dyDescent="0.25"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>
        <f t="shared" si="0"/>
        <v>0</v>
      </c>
    </row>
    <row r="67" spans="1:41" x14ac:dyDescent="0.25">
      <c r="B67" s="183">
        <f>SUM(B37:B66)</f>
        <v>0</v>
      </c>
      <c r="C67" s="183">
        <f t="shared" ref="C67:X67" si="2">SUM(C37:C66)</f>
        <v>0</v>
      </c>
      <c r="D67" s="183">
        <f t="shared" si="2"/>
        <v>0</v>
      </c>
      <c r="E67" s="183">
        <f t="shared" si="2"/>
        <v>0</v>
      </c>
      <c r="F67" s="183">
        <f t="shared" si="2"/>
        <v>0</v>
      </c>
      <c r="G67" s="183">
        <f>SUM(G37:G66)</f>
        <v>0</v>
      </c>
      <c r="H67" s="183">
        <f t="shared" si="2"/>
        <v>0</v>
      </c>
      <c r="I67" s="183">
        <f t="shared" si="2"/>
        <v>75</v>
      </c>
      <c r="J67" s="183">
        <f t="shared" si="2"/>
        <v>48.37</v>
      </c>
      <c r="K67" s="183">
        <f t="shared" si="2"/>
        <v>245.87</v>
      </c>
      <c r="L67" s="183">
        <f t="shared" si="2"/>
        <v>0</v>
      </c>
      <c r="M67" s="183">
        <f t="shared" si="2"/>
        <v>0</v>
      </c>
      <c r="N67" s="183">
        <f t="shared" si="2"/>
        <v>0</v>
      </c>
      <c r="O67" s="183">
        <f t="shared" si="2"/>
        <v>0</v>
      </c>
      <c r="P67" s="183">
        <f t="shared" si="2"/>
        <v>0</v>
      </c>
      <c r="Q67" s="183">
        <f t="shared" si="2"/>
        <v>0</v>
      </c>
      <c r="R67" s="183">
        <f t="shared" si="2"/>
        <v>0</v>
      </c>
      <c r="S67" s="183">
        <f>SUM(S37:S66)</f>
        <v>0</v>
      </c>
      <c r="T67" s="183">
        <f>SUM(T37:T66)</f>
        <v>0</v>
      </c>
      <c r="U67" s="183">
        <f>SUM(U37:U66)</f>
        <v>236.75</v>
      </c>
      <c r="V67" s="183">
        <f>SUM(V37:V66)</f>
        <v>0</v>
      </c>
      <c r="W67" s="183">
        <f>SUM(W37:W66)</f>
        <v>0</v>
      </c>
      <c r="X67" s="183">
        <f t="shared" si="2"/>
        <v>36.799999999999997</v>
      </c>
      <c r="Y67" s="183">
        <f>SUM(Y37:Y66)</f>
        <v>642.79</v>
      </c>
    </row>
    <row r="68" spans="1:41" x14ac:dyDescent="0.25">
      <c r="Y68" s="181">
        <f t="shared" si="0"/>
        <v>0</v>
      </c>
    </row>
    <row r="69" spans="1:41" x14ac:dyDescent="0.25">
      <c r="A69" s="180">
        <v>43525</v>
      </c>
      <c r="Y69" s="181">
        <f t="shared" ref="Y69:Y100" si="3">SUM(B69:X69)</f>
        <v>0</v>
      </c>
    </row>
    <row r="70" spans="1:41" x14ac:dyDescent="0.25">
      <c r="A70" s="180">
        <v>43526</v>
      </c>
      <c r="B70" s="185"/>
      <c r="C70" s="185"/>
      <c r="D70" s="185"/>
      <c r="E70" s="185"/>
      <c r="F70" s="185"/>
      <c r="G70" s="185"/>
      <c r="H70" s="185"/>
      <c r="I70" s="185"/>
      <c r="J70" s="185">
        <v>32.43</v>
      </c>
      <c r="K70" s="185">
        <v>346.66</v>
      </c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>
        <f>88.99+8.5+8.5+4.09+2.67</f>
        <v>112.75</v>
      </c>
      <c r="Y70" s="181">
        <f t="shared" si="3"/>
        <v>491.84000000000003</v>
      </c>
    </row>
    <row r="71" spans="1:41" x14ac:dyDescent="0.25">
      <c r="A71" s="180">
        <v>43527</v>
      </c>
      <c r="B71" s="185"/>
      <c r="C71" s="185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1">
        <f t="shared" si="3"/>
        <v>0</v>
      </c>
    </row>
    <row r="72" spans="1:41" x14ac:dyDescent="0.25">
      <c r="A72" s="180">
        <v>43528</v>
      </c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>
        <f>5.84+4.3</f>
        <v>10.14</v>
      </c>
      <c r="Y72" s="181">
        <f t="shared" si="3"/>
        <v>10.14</v>
      </c>
    </row>
    <row r="73" spans="1:41" x14ac:dyDescent="0.25">
      <c r="A73" s="180">
        <v>43529</v>
      </c>
      <c r="B73" s="185"/>
      <c r="C73" s="185"/>
      <c r="D73" s="185"/>
      <c r="E73" s="185"/>
      <c r="F73" s="185"/>
      <c r="G73" s="185"/>
      <c r="H73" s="185"/>
      <c r="I73" s="185"/>
      <c r="J73" s="18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1">
        <f t="shared" si="3"/>
        <v>0</v>
      </c>
    </row>
    <row r="74" spans="1:41" x14ac:dyDescent="0.25">
      <c r="A74" s="180">
        <v>43530</v>
      </c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1">
        <f t="shared" si="3"/>
        <v>0</v>
      </c>
    </row>
    <row r="75" spans="1:41" x14ac:dyDescent="0.25">
      <c r="A75" s="180">
        <v>43531</v>
      </c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1">
        <f t="shared" si="3"/>
        <v>0</v>
      </c>
    </row>
    <row r="76" spans="1:41" x14ac:dyDescent="0.25">
      <c r="A76" s="180">
        <v>43532</v>
      </c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1">
        <f t="shared" si="3"/>
        <v>0</v>
      </c>
    </row>
    <row r="77" spans="1:41" x14ac:dyDescent="0.25">
      <c r="A77" s="180">
        <v>43533</v>
      </c>
      <c r="B77" s="185"/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>
        <f>2.67+1.84</f>
        <v>4.51</v>
      </c>
      <c r="Y77" s="181">
        <f t="shared" si="3"/>
        <v>4.51</v>
      </c>
    </row>
    <row r="78" spans="1:41" x14ac:dyDescent="0.25">
      <c r="A78" s="180">
        <v>43534</v>
      </c>
      <c r="B78" s="185"/>
      <c r="C78" s="185"/>
      <c r="D78" s="185"/>
      <c r="E78" s="185"/>
      <c r="F78" s="185"/>
      <c r="G78" s="185"/>
      <c r="H78" s="185"/>
      <c r="I78" s="185">
        <v>75</v>
      </c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>
        <f>2.31+8.5</f>
        <v>10.81</v>
      </c>
      <c r="Y78" s="181">
        <f t="shared" si="3"/>
        <v>85.81</v>
      </c>
    </row>
    <row r="79" spans="1:41" x14ac:dyDescent="0.25">
      <c r="A79" s="180">
        <v>43535</v>
      </c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1">
        <f t="shared" si="3"/>
        <v>0</v>
      </c>
    </row>
    <row r="80" spans="1:41" x14ac:dyDescent="0.25">
      <c r="A80" s="180">
        <v>43536</v>
      </c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1">
        <f t="shared" si="3"/>
        <v>0</v>
      </c>
    </row>
    <row r="81" spans="1:25" x14ac:dyDescent="0.25">
      <c r="A81" s="180">
        <v>43537</v>
      </c>
      <c r="B81" s="185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>
        <v>4</v>
      </c>
      <c r="Y81" s="181">
        <f t="shared" si="3"/>
        <v>4</v>
      </c>
    </row>
    <row r="82" spans="1:25" x14ac:dyDescent="0.25">
      <c r="A82" s="180">
        <v>43538</v>
      </c>
      <c r="B82" s="185"/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1">
        <f t="shared" si="3"/>
        <v>0</v>
      </c>
    </row>
    <row r="83" spans="1:25" x14ac:dyDescent="0.25">
      <c r="A83" s="180">
        <v>43539</v>
      </c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1">
        <f t="shared" si="3"/>
        <v>0</v>
      </c>
    </row>
    <row r="84" spans="1:25" x14ac:dyDescent="0.25">
      <c r="A84" s="180">
        <v>43540</v>
      </c>
      <c r="B84" s="185"/>
      <c r="C84" s="185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  <c r="X84" s="185"/>
      <c r="Y84" s="181">
        <f t="shared" si="3"/>
        <v>0</v>
      </c>
    </row>
    <row r="85" spans="1:25" x14ac:dyDescent="0.25">
      <c r="A85" s="180">
        <v>43541</v>
      </c>
      <c r="B85" s="185"/>
      <c r="C85" s="185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1">
        <f t="shared" si="3"/>
        <v>0</v>
      </c>
    </row>
    <row r="86" spans="1:25" x14ac:dyDescent="0.25">
      <c r="A86" s="180">
        <v>43542</v>
      </c>
      <c r="B86" s="185"/>
      <c r="C86" s="185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1">
        <f t="shared" si="3"/>
        <v>0</v>
      </c>
    </row>
    <row r="87" spans="1:25" x14ac:dyDescent="0.25">
      <c r="A87" s="180">
        <v>43543</v>
      </c>
      <c r="B87" s="185"/>
      <c r="C87" s="185"/>
      <c r="D87" s="185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1">
        <f t="shared" si="3"/>
        <v>0</v>
      </c>
    </row>
    <row r="88" spans="1:25" x14ac:dyDescent="0.25">
      <c r="A88" s="180">
        <v>43544</v>
      </c>
      <c r="B88" s="185"/>
      <c r="C88" s="185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1">
        <f t="shared" si="3"/>
        <v>0</v>
      </c>
    </row>
    <row r="89" spans="1:25" x14ac:dyDescent="0.25">
      <c r="A89" s="180">
        <v>43545</v>
      </c>
      <c r="B89" s="185"/>
      <c r="C89" s="185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1">
        <f t="shared" si="3"/>
        <v>0</v>
      </c>
    </row>
    <row r="90" spans="1:25" x14ac:dyDescent="0.25">
      <c r="A90" s="180">
        <v>43546</v>
      </c>
      <c r="B90" s="185"/>
      <c r="C90" s="185"/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1">
        <f t="shared" si="3"/>
        <v>0</v>
      </c>
    </row>
    <row r="91" spans="1:25" x14ac:dyDescent="0.25">
      <c r="A91" s="180">
        <v>43547</v>
      </c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1">
        <f t="shared" si="3"/>
        <v>0</v>
      </c>
    </row>
    <row r="92" spans="1:25" x14ac:dyDescent="0.25">
      <c r="A92" s="180">
        <v>43548</v>
      </c>
      <c r="B92" s="185"/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1">
        <f t="shared" si="3"/>
        <v>0</v>
      </c>
    </row>
    <row r="93" spans="1:25" x14ac:dyDescent="0.25">
      <c r="A93" s="180">
        <v>43549</v>
      </c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1">
        <f t="shared" si="3"/>
        <v>0</v>
      </c>
    </row>
    <row r="94" spans="1:25" x14ac:dyDescent="0.25">
      <c r="A94" s="180">
        <v>43550</v>
      </c>
      <c r="B94" s="185"/>
      <c r="C94" s="185"/>
      <c r="D94" s="185"/>
      <c r="E94" s="185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1">
        <f t="shared" si="3"/>
        <v>0</v>
      </c>
    </row>
    <row r="95" spans="1:25" x14ac:dyDescent="0.25">
      <c r="A95" s="180">
        <v>43551</v>
      </c>
      <c r="B95" s="185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1">
        <f t="shared" si="3"/>
        <v>0</v>
      </c>
    </row>
    <row r="96" spans="1:25" x14ac:dyDescent="0.25">
      <c r="A96" s="180">
        <v>43552</v>
      </c>
      <c r="B96" s="185"/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1">
        <f t="shared" si="3"/>
        <v>0</v>
      </c>
    </row>
    <row r="97" spans="1:25" x14ac:dyDescent="0.25">
      <c r="A97" s="180">
        <v>43553</v>
      </c>
      <c r="B97" s="185"/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1">
        <f t="shared" si="3"/>
        <v>0</v>
      </c>
    </row>
    <row r="98" spans="1:25" x14ac:dyDescent="0.25">
      <c r="A98" s="180">
        <v>43554</v>
      </c>
      <c r="B98" s="185"/>
      <c r="C98" s="185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1">
        <f t="shared" si="3"/>
        <v>0</v>
      </c>
    </row>
    <row r="99" spans="1:25" x14ac:dyDescent="0.25">
      <c r="A99" s="180">
        <v>43555</v>
      </c>
      <c r="B99" s="185"/>
      <c r="C99" s="185"/>
      <c r="D99" s="185"/>
      <c r="E99" s="185"/>
      <c r="F99" s="185"/>
      <c r="G99" s="185"/>
      <c r="H99" s="185"/>
      <c r="I99" s="185"/>
      <c r="J99" s="185"/>
      <c r="K99" s="185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1">
        <f t="shared" si="3"/>
        <v>0</v>
      </c>
    </row>
    <row r="100" spans="1:25" x14ac:dyDescent="0.25">
      <c r="Y100" s="181">
        <f t="shared" si="3"/>
        <v>0</v>
      </c>
    </row>
    <row r="101" spans="1:25" x14ac:dyDescent="0.25">
      <c r="B101" s="183">
        <f>SUM(B68:B100)</f>
        <v>0</v>
      </c>
      <c r="C101" s="183">
        <f t="shared" ref="C101:X101" si="4">SUM(C68:C100)</f>
        <v>0</v>
      </c>
      <c r="D101" s="183">
        <f t="shared" si="4"/>
        <v>0</v>
      </c>
      <c r="E101" s="183">
        <f t="shared" si="4"/>
        <v>0</v>
      </c>
      <c r="F101" s="183">
        <f t="shared" si="4"/>
        <v>0</v>
      </c>
      <c r="G101" s="183">
        <f>SUM(G68:G100)</f>
        <v>0</v>
      </c>
      <c r="H101" s="183">
        <f t="shared" si="4"/>
        <v>0</v>
      </c>
      <c r="I101" s="183">
        <f t="shared" si="4"/>
        <v>75</v>
      </c>
      <c r="J101" s="183">
        <f t="shared" si="4"/>
        <v>32.43</v>
      </c>
      <c r="K101" s="183">
        <f t="shared" si="4"/>
        <v>346.66</v>
      </c>
      <c r="L101" s="183">
        <f t="shared" si="4"/>
        <v>0</v>
      </c>
      <c r="M101" s="183">
        <f t="shared" si="4"/>
        <v>0</v>
      </c>
      <c r="N101" s="183">
        <f t="shared" si="4"/>
        <v>0</v>
      </c>
      <c r="O101" s="183">
        <f t="shared" si="4"/>
        <v>0</v>
      </c>
      <c r="P101" s="183">
        <f t="shared" si="4"/>
        <v>0</v>
      </c>
      <c r="Q101" s="183">
        <f t="shared" si="4"/>
        <v>0</v>
      </c>
      <c r="R101" s="183">
        <f t="shared" si="4"/>
        <v>0</v>
      </c>
      <c r="S101" s="183">
        <f>SUM(S68:S100)</f>
        <v>0</v>
      </c>
      <c r="T101" s="183">
        <f>SUM(T68:T100)</f>
        <v>0</v>
      </c>
      <c r="U101" s="183">
        <f>SUM(U68:U100)</f>
        <v>0</v>
      </c>
      <c r="V101" s="183">
        <f>SUM(V68:V100)</f>
        <v>0</v>
      </c>
      <c r="W101" s="183">
        <f>SUM(W68:W100)</f>
        <v>0</v>
      </c>
      <c r="X101" s="183">
        <f t="shared" si="4"/>
        <v>142.21</v>
      </c>
      <c r="Y101" s="183">
        <f>SUM(Y68:Y100)</f>
        <v>596.29999999999995</v>
      </c>
    </row>
    <row r="102" spans="1:25" x14ac:dyDescent="0.25">
      <c r="Y102" s="181">
        <f t="shared" ref="Y102:Y165" si="5">SUM(B102:X102)</f>
        <v>0</v>
      </c>
    </row>
    <row r="103" spans="1:25" x14ac:dyDescent="0.25">
      <c r="A103" s="180">
        <v>43556</v>
      </c>
      <c r="Y103" s="181">
        <f t="shared" si="5"/>
        <v>0</v>
      </c>
    </row>
    <row r="104" spans="1:25" x14ac:dyDescent="0.25">
      <c r="A104" s="180">
        <v>43557</v>
      </c>
      <c r="Y104" s="181">
        <f t="shared" si="5"/>
        <v>0</v>
      </c>
    </row>
    <row r="105" spans="1:25" x14ac:dyDescent="0.25">
      <c r="A105" s="180">
        <v>43558</v>
      </c>
      <c r="Y105" s="181">
        <f t="shared" si="5"/>
        <v>0</v>
      </c>
    </row>
    <row r="106" spans="1:25" x14ac:dyDescent="0.25">
      <c r="A106" s="180">
        <v>43559</v>
      </c>
      <c r="Y106" s="181">
        <f t="shared" si="5"/>
        <v>0</v>
      </c>
    </row>
    <row r="107" spans="1:25" x14ac:dyDescent="0.25">
      <c r="A107" s="180">
        <v>43560</v>
      </c>
      <c r="B107" s="185"/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1">
        <f t="shared" si="5"/>
        <v>0</v>
      </c>
    </row>
    <row r="108" spans="1:25" x14ac:dyDescent="0.25">
      <c r="A108" s="180">
        <v>43561</v>
      </c>
      <c r="B108" s="185"/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1">
        <f t="shared" si="5"/>
        <v>0</v>
      </c>
    </row>
    <row r="109" spans="1:25" x14ac:dyDescent="0.25">
      <c r="A109" s="180">
        <v>43562</v>
      </c>
      <c r="B109" s="185"/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1">
        <f t="shared" si="5"/>
        <v>0</v>
      </c>
    </row>
    <row r="110" spans="1:25" x14ac:dyDescent="0.25">
      <c r="A110" s="180">
        <v>43563</v>
      </c>
      <c r="B110" s="185"/>
      <c r="C110" s="185"/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1">
        <f t="shared" si="5"/>
        <v>0</v>
      </c>
    </row>
    <row r="111" spans="1:25" x14ac:dyDescent="0.25">
      <c r="A111" s="180">
        <v>43564</v>
      </c>
      <c r="B111" s="185"/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1">
        <f t="shared" si="5"/>
        <v>0</v>
      </c>
    </row>
    <row r="112" spans="1:25" x14ac:dyDescent="0.25">
      <c r="A112" s="180">
        <v>43565</v>
      </c>
      <c r="B112" s="185"/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  <c r="Q112" s="185"/>
      <c r="R112" s="185"/>
      <c r="S112" s="185"/>
      <c r="T112" s="185"/>
      <c r="U112" s="185"/>
      <c r="V112" s="185"/>
      <c r="W112" s="185"/>
      <c r="X112" s="185"/>
      <c r="Y112" s="181">
        <f t="shared" si="5"/>
        <v>0</v>
      </c>
    </row>
    <row r="113" spans="1:25" x14ac:dyDescent="0.25">
      <c r="A113" s="180">
        <v>43566</v>
      </c>
      <c r="B113" s="185"/>
      <c r="C113" s="185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R113" s="185"/>
      <c r="S113" s="185"/>
      <c r="T113" s="185"/>
      <c r="U113" s="185"/>
      <c r="V113" s="185"/>
      <c r="W113" s="185"/>
      <c r="X113" s="185"/>
      <c r="Y113" s="181">
        <f t="shared" si="5"/>
        <v>0</v>
      </c>
    </row>
    <row r="114" spans="1:25" x14ac:dyDescent="0.25">
      <c r="A114" s="180">
        <v>43567</v>
      </c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1">
        <f t="shared" si="5"/>
        <v>0</v>
      </c>
    </row>
    <row r="115" spans="1:25" x14ac:dyDescent="0.25">
      <c r="A115" s="180">
        <v>43568</v>
      </c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R115" s="185"/>
      <c r="S115" s="185"/>
      <c r="T115" s="185"/>
      <c r="U115" s="185"/>
      <c r="V115" s="185"/>
      <c r="W115" s="185"/>
      <c r="X115" s="185"/>
      <c r="Y115" s="181">
        <f t="shared" si="5"/>
        <v>0</v>
      </c>
    </row>
    <row r="116" spans="1:25" x14ac:dyDescent="0.25">
      <c r="A116" s="180">
        <v>43569</v>
      </c>
      <c r="B116" s="185"/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1">
        <f t="shared" si="5"/>
        <v>0</v>
      </c>
    </row>
    <row r="117" spans="1:25" x14ac:dyDescent="0.25">
      <c r="A117" s="180">
        <v>43570</v>
      </c>
      <c r="B117" s="185"/>
      <c r="C117" s="185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1">
        <f t="shared" si="5"/>
        <v>0</v>
      </c>
    </row>
    <row r="118" spans="1:25" x14ac:dyDescent="0.25">
      <c r="A118" s="180">
        <v>43571</v>
      </c>
      <c r="B118" s="185"/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1">
        <f t="shared" si="5"/>
        <v>0</v>
      </c>
    </row>
    <row r="119" spans="1:25" x14ac:dyDescent="0.25">
      <c r="A119" s="180">
        <v>43572</v>
      </c>
      <c r="B119" s="185"/>
      <c r="C119" s="185"/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1">
        <f t="shared" si="5"/>
        <v>0</v>
      </c>
    </row>
    <row r="120" spans="1:25" x14ac:dyDescent="0.25">
      <c r="A120" s="180">
        <v>43573</v>
      </c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1">
        <f t="shared" si="5"/>
        <v>0</v>
      </c>
    </row>
    <row r="121" spans="1:25" x14ac:dyDescent="0.25">
      <c r="A121" s="180">
        <v>43574</v>
      </c>
      <c r="B121" s="185"/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1">
        <f t="shared" si="5"/>
        <v>0</v>
      </c>
    </row>
    <row r="122" spans="1:25" x14ac:dyDescent="0.25">
      <c r="A122" s="180">
        <v>43575</v>
      </c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1">
        <f t="shared" si="5"/>
        <v>0</v>
      </c>
    </row>
    <row r="123" spans="1:25" x14ac:dyDescent="0.25">
      <c r="A123" s="180">
        <v>43576</v>
      </c>
      <c r="B123" s="185"/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1">
        <f t="shared" si="5"/>
        <v>0</v>
      </c>
    </row>
    <row r="124" spans="1:25" x14ac:dyDescent="0.25">
      <c r="A124" s="180">
        <v>43577</v>
      </c>
      <c r="B124" s="185"/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1">
        <f t="shared" si="5"/>
        <v>0</v>
      </c>
    </row>
    <row r="125" spans="1:25" x14ac:dyDescent="0.25">
      <c r="A125" s="180">
        <v>43578</v>
      </c>
      <c r="B125" s="185"/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1">
        <f t="shared" si="5"/>
        <v>0</v>
      </c>
    </row>
    <row r="126" spans="1:25" x14ac:dyDescent="0.25">
      <c r="A126" s="180">
        <v>43579</v>
      </c>
      <c r="B126" s="185"/>
      <c r="C126" s="185"/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5"/>
      <c r="Y126" s="181">
        <f t="shared" si="5"/>
        <v>0</v>
      </c>
    </row>
    <row r="127" spans="1:25" x14ac:dyDescent="0.25">
      <c r="A127" s="180">
        <v>43580</v>
      </c>
      <c r="B127" s="185"/>
      <c r="C127" s="185"/>
      <c r="D127" s="185"/>
      <c r="E127" s="185"/>
      <c r="F127" s="185"/>
      <c r="G127" s="185"/>
      <c r="H127" s="186"/>
      <c r="I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85"/>
      <c r="T127" s="185"/>
      <c r="U127" s="185"/>
      <c r="V127" s="185"/>
      <c r="W127" s="185"/>
      <c r="X127" s="185"/>
      <c r="Y127" s="181">
        <f t="shared" si="5"/>
        <v>0</v>
      </c>
    </row>
    <row r="128" spans="1:25" x14ac:dyDescent="0.25">
      <c r="A128" s="180">
        <v>43581</v>
      </c>
      <c r="B128" s="185"/>
      <c r="C128" s="185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1">
        <f t="shared" si="5"/>
        <v>0</v>
      </c>
    </row>
    <row r="129" spans="1:25" x14ac:dyDescent="0.25">
      <c r="A129" s="180">
        <v>43582</v>
      </c>
      <c r="B129" s="185"/>
      <c r="C129" s="185"/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85"/>
      <c r="S129" s="185"/>
      <c r="T129" s="185"/>
      <c r="U129" s="185"/>
      <c r="V129" s="185"/>
      <c r="W129" s="185"/>
      <c r="X129" s="185"/>
      <c r="Y129" s="181">
        <f t="shared" si="5"/>
        <v>0</v>
      </c>
    </row>
    <row r="130" spans="1:25" x14ac:dyDescent="0.25">
      <c r="A130" s="180">
        <v>43583</v>
      </c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R130" s="185"/>
      <c r="S130" s="185"/>
      <c r="T130" s="185"/>
      <c r="U130" s="185"/>
      <c r="V130" s="185"/>
      <c r="W130" s="185"/>
      <c r="X130" s="185"/>
      <c r="Y130" s="181">
        <f t="shared" si="5"/>
        <v>0</v>
      </c>
    </row>
    <row r="131" spans="1:25" x14ac:dyDescent="0.25">
      <c r="A131" s="180">
        <v>43584</v>
      </c>
      <c r="B131" s="185"/>
      <c r="C131" s="185"/>
      <c r="D131" s="185"/>
      <c r="E131" s="185"/>
      <c r="F131" s="185"/>
      <c r="G131" s="185"/>
      <c r="H131" s="185"/>
      <c r="I131" s="185"/>
      <c r="J131" s="185"/>
      <c r="K131" s="185"/>
      <c r="L131" s="185"/>
      <c r="M131" s="185"/>
      <c r="N131" s="185"/>
      <c r="O131" s="185"/>
      <c r="P131" s="185"/>
      <c r="Q131" s="185"/>
      <c r="R131" s="185"/>
      <c r="S131" s="185"/>
      <c r="T131" s="185"/>
      <c r="U131" s="185"/>
      <c r="V131" s="185"/>
      <c r="W131" s="185"/>
      <c r="X131" s="185"/>
      <c r="Y131" s="181">
        <f t="shared" si="5"/>
        <v>0</v>
      </c>
    </row>
    <row r="132" spans="1:25" x14ac:dyDescent="0.25">
      <c r="A132" s="180">
        <v>43585</v>
      </c>
      <c r="B132" s="185"/>
      <c r="C132" s="185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1">
        <f t="shared" si="5"/>
        <v>0</v>
      </c>
    </row>
    <row r="133" spans="1:25" x14ac:dyDescent="0.25">
      <c r="B133" s="185"/>
      <c r="C133" s="185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1">
        <f t="shared" si="5"/>
        <v>0</v>
      </c>
    </row>
    <row r="134" spans="1:25" x14ac:dyDescent="0.25">
      <c r="B134" s="183">
        <f>SUM(B102:B133)</f>
        <v>0</v>
      </c>
      <c r="C134" s="183">
        <f t="shared" ref="C134:V134" si="6">SUM(C102:C133)</f>
        <v>0</v>
      </c>
      <c r="D134" s="183">
        <f t="shared" si="6"/>
        <v>0</v>
      </c>
      <c r="E134" s="183">
        <f t="shared" si="6"/>
        <v>0</v>
      </c>
      <c r="F134" s="183">
        <f t="shared" si="6"/>
        <v>0</v>
      </c>
      <c r="G134" s="183">
        <f>SUM(G102:G133)</f>
        <v>0</v>
      </c>
      <c r="H134" s="183">
        <f t="shared" si="6"/>
        <v>0</v>
      </c>
      <c r="I134" s="183">
        <f t="shared" si="6"/>
        <v>0</v>
      </c>
      <c r="J134" s="183">
        <f t="shared" si="6"/>
        <v>0</v>
      </c>
      <c r="K134" s="183">
        <f t="shared" si="6"/>
        <v>0</v>
      </c>
      <c r="L134" s="183">
        <f t="shared" si="6"/>
        <v>0</v>
      </c>
      <c r="M134" s="183">
        <f t="shared" si="6"/>
        <v>0</v>
      </c>
      <c r="N134" s="183">
        <f t="shared" si="6"/>
        <v>0</v>
      </c>
      <c r="O134" s="183">
        <f>SUM(O102:O133)</f>
        <v>0</v>
      </c>
      <c r="P134" s="183">
        <f t="shared" si="6"/>
        <v>0</v>
      </c>
      <c r="Q134" s="183">
        <f t="shared" si="6"/>
        <v>0</v>
      </c>
      <c r="R134" s="183">
        <f t="shared" si="6"/>
        <v>0</v>
      </c>
      <c r="S134" s="183">
        <f>SUM(S102:S133)</f>
        <v>0</v>
      </c>
      <c r="T134" s="183">
        <f>SUM(T102:T133)</f>
        <v>0</v>
      </c>
      <c r="U134" s="183">
        <f>SUM(U102:U133)</f>
        <v>0</v>
      </c>
      <c r="V134" s="183">
        <f t="shared" si="6"/>
        <v>0</v>
      </c>
      <c r="W134" s="183">
        <f>SUM(W102:W133)</f>
        <v>0</v>
      </c>
      <c r="X134" s="183">
        <f>SUM(X102:X133)</f>
        <v>0</v>
      </c>
      <c r="Y134" s="183">
        <f>SUM(Y102:Y133)</f>
        <v>0</v>
      </c>
    </row>
    <row r="135" spans="1:25" x14ac:dyDescent="0.25">
      <c r="Y135" s="181">
        <f t="shared" si="5"/>
        <v>0</v>
      </c>
    </row>
    <row r="136" spans="1:25" x14ac:dyDescent="0.25">
      <c r="A136" s="180">
        <v>43586</v>
      </c>
      <c r="Y136" s="181">
        <f t="shared" si="5"/>
        <v>0</v>
      </c>
    </row>
    <row r="137" spans="1:25" x14ac:dyDescent="0.25">
      <c r="A137" s="180">
        <v>43587</v>
      </c>
      <c r="B137" s="185"/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R137" s="185"/>
      <c r="S137" s="185"/>
      <c r="T137" s="185"/>
      <c r="U137" s="185"/>
      <c r="V137" s="185"/>
      <c r="W137" s="185"/>
      <c r="X137" s="185"/>
      <c r="Y137" s="181">
        <f t="shared" si="5"/>
        <v>0</v>
      </c>
    </row>
    <row r="138" spans="1:25" x14ac:dyDescent="0.25">
      <c r="A138" s="180">
        <v>43588</v>
      </c>
      <c r="B138" s="185"/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N138" s="185"/>
      <c r="O138" s="185"/>
      <c r="P138" s="185"/>
      <c r="Q138" s="185"/>
      <c r="R138" s="185"/>
      <c r="S138" s="185"/>
      <c r="T138" s="185"/>
      <c r="U138" s="185"/>
      <c r="V138" s="185"/>
      <c r="W138" s="185"/>
      <c r="X138" s="185"/>
      <c r="Y138" s="181">
        <f t="shared" si="5"/>
        <v>0</v>
      </c>
    </row>
    <row r="139" spans="1:25" x14ac:dyDescent="0.25">
      <c r="A139" s="180">
        <v>43589</v>
      </c>
      <c r="B139" s="185"/>
      <c r="C139" s="185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R139" s="185"/>
      <c r="S139" s="185"/>
      <c r="T139" s="185"/>
      <c r="U139" s="185"/>
      <c r="V139" s="185"/>
      <c r="W139" s="185"/>
      <c r="X139" s="185"/>
      <c r="Y139" s="181">
        <f t="shared" si="5"/>
        <v>0</v>
      </c>
    </row>
    <row r="140" spans="1:25" x14ac:dyDescent="0.25">
      <c r="A140" s="180">
        <v>43590</v>
      </c>
      <c r="B140" s="185"/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N140" s="185"/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1">
        <f t="shared" si="5"/>
        <v>0</v>
      </c>
    </row>
    <row r="141" spans="1:25" x14ac:dyDescent="0.25">
      <c r="A141" s="180">
        <v>43591</v>
      </c>
      <c r="B141" s="185"/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1">
        <f t="shared" si="5"/>
        <v>0</v>
      </c>
    </row>
    <row r="142" spans="1:25" x14ac:dyDescent="0.25">
      <c r="A142" s="180">
        <v>43592</v>
      </c>
      <c r="B142" s="185"/>
      <c r="C142" s="185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1">
        <f t="shared" si="5"/>
        <v>0</v>
      </c>
    </row>
    <row r="143" spans="1:25" x14ac:dyDescent="0.25">
      <c r="A143" s="180">
        <v>43593</v>
      </c>
      <c r="B143" s="185"/>
      <c r="C143" s="185"/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85"/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1">
        <f t="shared" si="5"/>
        <v>0</v>
      </c>
    </row>
    <row r="144" spans="1:25" x14ac:dyDescent="0.25">
      <c r="A144" s="180">
        <v>43594</v>
      </c>
      <c r="B144" s="185"/>
      <c r="C144" s="185"/>
      <c r="D144" s="185"/>
      <c r="E144" s="185"/>
      <c r="F144" s="185"/>
      <c r="G144" s="185"/>
      <c r="H144" s="185"/>
      <c r="I144" s="185"/>
      <c r="J144" s="185"/>
      <c r="K144" s="185"/>
      <c r="L144" s="185"/>
      <c r="M144" s="185"/>
      <c r="N144" s="185"/>
      <c r="O144" s="185"/>
      <c r="P144" s="185"/>
      <c r="Q144" s="185"/>
      <c r="R144" s="185"/>
      <c r="S144" s="185"/>
      <c r="T144" s="185"/>
      <c r="U144" s="185"/>
      <c r="V144" s="185"/>
      <c r="W144" s="185"/>
      <c r="X144" s="185"/>
      <c r="Y144" s="181">
        <f t="shared" si="5"/>
        <v>0</v>
      </c>
    </row>
    <row r="145" spans="1:25" x14ac:dyDescent="0.25">
      <c r="A145" s="180">
        <v>43595</v>
      </c>
      <c r="B145" s="185"/>
      <c r="C145" s="185"/>
      <c r="D145" s="185"/>
      <c r="E145" s="185"/>
      <c r="F145" s="185"/>
      <c r="G145" s="185"/>
      <c r="H145" s="185"/>
      <c r="I145" s="185"/>
      <c r="J145" s="185"/>
      <c r="K145" s="185"/>
      <c r="L145" s="185"/>
      <c r="M145" s="185"/>
      <c r="N145" s="185"/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1">
        <f t="shared" si="5"/>
        <v>0</v>
      </c>
    </row>
    <row r="146" spans="1:25" x14ac:dyDescent="0.25">
      <c r="A146" s="180">
        <v>43596</v>
      </c>
      <c r="B146" s="185"/>
      <c r="C146" s="185"/>
      <c r="D146" s="185"/>
      <c r="E146" s="185"/>
      <c r="F146" s="185"/>
      <c r="G146" s="185"/>
      <c r="H146" s="185"/>
      <c r="I146" s="185"/>
      <c r="J146" s="185"/>
      <c r="K146" s="185"/>
      <c r="L146" s="185"/>
      <c r="M146" s="185"/>
      <c r="N146" s="185"/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1">
        <f t="shared" si="5"/>
        <v>0</v>
      </c>
    </row>
    <row r="147" spans="1:25" x14ac:dyDescent="0.25">
      <c r="A147" s="180">
        <v>43597</v>
      </c>
      <c r="B147" s="185"/>
      <c r="C147" s="185"/>
      <c r="D147" s="185"/>
      <c r="E147" s="185"/>
      <c r="F147" s="185"/>
      <c r="G147" s="185"/>
      <c r="H147" s="185"/>
      <c r="I147" s="185"/>
      <c r="J147" s="185"/>
      <c r="K147" s="185"/>
      <c r="L147" s="185"/>
      <c r="M147" s="185"/>
      <c r="N147" s="185"/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1">
        <f t="shared" si="5"/>
        <v>0</v>
      </c>
    </row>
    <row r="148" spans="1:25" x14ac:dyDescent="0.25">
      <c r="A148" s="180">
        <v>43598</v>
      </c>
      <c r="B148" s="185"/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185"/>
      <c r="N148" s="185"/>
      <c r="O148" s="185"/>
      <c r="P148" s="185"/>
      <c r="Q148" s="185"/>
      <c r="R148" s="185"/>
      <c r="S148" s="185"/>
      <c r="T148" s="185"/>
      <c r="U148" s="185"/>
      <c r="V148" s="185"/>
      <c r="W148" s="185"/>
      <c r="X148" s="185"/>
      <c r="Y148" s="181">
        <f t="shared" si="5"/>
        <v>0</v>
      </c>
    </row>
    <row r="149" spans="1:25" x14ac:dyDescent="0.25">
      <c r="A149" s="180">
        <v>43599</v>
      </c>
      <c r="B149" s="185"/>
      <c r="C149" s="185"/>
      <c r="D149" s="185"/>
      <c r="E149" s="185"/>
      <c r="F149" s="185"/>
      <c r="G149" s="185"/>
      <c r="H149" s="185"/>
      <c r="I149" s="185"/>
      <c r="J149" s="185"/>
      <c r="K149" s="185"/>
      <c r="L149" s="185"/>
      <c r="M149" s="185"/>
      <c r="N149" s="185"/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1">
        <f t="shared" si="5"/>
        <v>0</v>
      </c>
    </row>
    <row r="150" spans="1:25" x14ac:dyDescent="0.25">
      <c r="A150" s="180">
        <v>43600</v>
      </c>
      <c r="B150" s="185"/>
      <c r="C150" s="185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1">
        <f t="shared" si="5"/>
        <v>0</v>
      </c>
    </row>
    <row r="151" spans="1:25" x14ac:dyDescent="0.25">
      <c r="A151" s="180">
        <v>43601</v>
      </c>
      <c r="B151" s="185"/>
      <c r="C151" s="185"/>
      <c r="D151" s="185"/>
      <c r="E151" s="185"/>
      <c r="F151" s="185"/>
      <c r="G151" s="185"/>
      <c r="H151" s="185"/>
      <c r="I151" s="185"/>
      <c r="J151" s="185"/>
      <c r="K151" s="185"/>
      <c r="L151" s="185"/>
      <c r="M151" s="185"/>
      <c r="N151" s="185"/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1">
        <f t="shared" si="5"/>
        <v>0</v>
      </c>
    </row>
    <row r="152" spans="1:25" x14ac:dyDescent="0.25">
      <c r="A152" s="180">
        <v>43602</v>
      </c>
      <c r="B152" s="185"/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5"/>
      <c r="N152" s="185"/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1">
        <f t="shared" si="5"/>
        <v>0</v>
      </c>
    </row>
    <row r="153" spans="1:25" x14ac:dyDescent="0.25">
      <c r="A153" s="180">
        <v>43603</v>
      </c>
      <c r="B153" s="185"/>
      <c r="C153" s="185"/>
      <c r="D153" s="185"/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1">
        <f t="shared" si="5"/>
        <v>0</v>
      </c>
    </row>
    <row r="154" spans="1:25" x14ac:dyDescent="0.25">
      <c r="A154" s="180">
        <v>43604</v>
      </c>
      <c r="B154" s="185"/>
      <c r="C154" s="185"/>
      <c r="D154" s="185"/>
      <c r="E154" s="185"/>
      <c r="F154" s="185"/>
      <c r="G154" s="185"/>
      <c r="H154" s="185"/>
      <c r="I154" s="185"/>
      <c r="J154" s="185"/>
      <c r="K154" s="185"/>
      <c r="L154" s="185"/>
      <c r="M154" s="185"/>
      <c r="N154" s="185"/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1">
        <f t="shared" si="5"/>
        <v>0</v>
      </c>
    </row>
    <row r="155" spans="1:25" x14ac:dyDescent="0.25">
      <c r="A155" s="180">
        <v>43605</v>
      </c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1">
        <f t="shared" si="5"/>
        <v>0</v>
      </c>
    </row>
    <row r="156" spans="1:25" x14ac:dyDescent="0.25">
      <c r="A156" s="180">
        <v>43606</v>
      </c>
      <c r="B156" s="185"/>
      <c r="C156" s="185"/>
      <c r="D156" s="185"/>
      <c r="E156" s="185"/>
      <c r="F156" s="185"/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1">
        <f t="shared" si="5"/>
        <v>0</v>
      </c>
    </row>
    <row r="157" spans="1:25" x14ac:dyDescent="0.25">
      <c r="A157" s="180">
        <v>43607</v>
      </c>
      <c r="B157" s="185"/>
      <c r="C157" s="185"/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1">
        <f t="shared" si="5"/>
        <v>0</v>
      </c>
    </row>
    <row r="158" spans="1:25" x14ac:dyDescent="0.25">
      <c r="A158" s="180">
        <v>43608</v>
      </c>
      <c r="B158" s="185"/>
      <c r="C158" s="185"/>
      <c r="D158" s="185"/>
      <c r="E158" s="185"/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1">
        <f t="shared" si="5"/>
        <v>0</v>
      </c>
    </row>
    <row r="159" spans="1:25" x14ac:dyDescent="0.25">
      <c r="A159" s="180">
        <v>43609</v>
      </c>
      <c r="B159" s="185"/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1">
        <f t="shared" si="5"/>
        <v>0</v>
      </c>
    </row>
    <row r="160" spans="1:25" x14ac:dyDescent="0.25">
      <c r="A160" s="180">
        <v>43610</v>
      </c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1">
        <f t="shared" si="5"/>
        <v>0</v>
      </c>
    </row>
    <row r="161" spans="1:25" x14ac:dyDescent="0.25">
      <c r="A161" s="180">
        <v>43611</v>
      </c>
      <c r="B161" s="185"/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1">
        <f t="shared" si="5"/>
        <v>0</v>
      </c>
    </row>
    <row r="162" spans="1:25" x14ac:dyDescent="0.25">
      <c r="A162" s="180">
        <v>43612</v>
      </c>
      <c r="B162" s="185"/>
      <c r="C162" s="185"/>
      <c r="D162" s="185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1">
        <f t="shared" si="5"/>
        <v>0</v>
      </c>
    </row>
    <row r="163" spans="1:25" x14ac:dyDescent="0.25">
      <c r="A163" s="180">
        <v>43613</v>
      </c>
      <c r="B163" s="185"/>
      <c r="C163" s="185"/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1">
        <f t="shared" si="5"/>
        <v>0</v>
      </c>
    </row>
    <row r="164" spans="1:25" x14ac:dyDescent="0.25">
      <c r="A164" s="180">
        <v>43614</v>
      </c>
      <c r="B164" s="185"/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1">
        <f t="shared" si="5"/>
        <v>0</v>
      </c>
    </row>
    <row r="165" spans="1:25" x14ac:dyDescent="0.25">
      <c r="A165" s="180">
        <v>43615</v>
      </c>
      <c r="B165" s="185"/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1">
        <f t="shared" si="5"/>
        <v>0</v>
      </c>
    </row>
    <row r="166" spans="1:25" x14ac:dyDescent="0.25">
      <c r="A166" s="180">
        <v>43616</v>
      </c>
      <c r="B166" s="185"/>
      <c r="C166" s="185"/>
      <c r="D166" s="185"/>
      <c r="E166" s="185"/>
      <c r="F166" s="185"/>
      <c r="G166" s="185"/>
      <c r="H166" s="185"/>
      <c r="I166" s="185"/>
      <c r="J166" s="185"/>
      <c r="K166" s="185"/>
      <c r="L166" s="185"/>
      <c r="M166" s="185"/>
      <c r="N166" s="185"/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1">
        <f t="shared" ref="Y166:Y229" si="7">SUM(B166:X166)</f>
        <v>0</v>
      </c>
    </row>
    <row r="167" spans="1:25" x14ac:dyDescent="0.25">
      <c r="B167" s="185"/>
      <c r="C167" s="185"/>
      <c r="D167" s="185"/>
      <c r="E167" s="185"/>
      <c r="F167" s="185"/>
      <c r="G167" s="185"/>
      <c r="H167" s="185"/>
      <c r="I167" s="185"/>
      <c r="J167" s="185"/>
      <c r="K167" s="185"/>
      <c r="L167" s="185"/>
      <c r="M167" s="185"/>
      <c r="N167" s="185"/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1">
        <f t="shared" si="7"/>
        <v>0</v>
      </c>
    </row>
    <row r="168" spans="1:25" x14ac:dyDescent="0.25">
      <c r="B168" s="183">
        <f>SUM(B135:B167)</f>
        <v>0</v>
      </c>
      <c r="C168" s="183">
        <f t="shared" ref="C168:X168" si="8">SUM(C135:C167)</f>
        <v>0</v>
      </c>
      <c r="D168" s="183">
        <f t="shared" si="8"/>
        <v>0</v>
      </c>
      <c r="E168" s="183">
        <f t="shared" si="8"/>
        <v>0</v>
      </c>
      <c r="F168" s="183">
        <f t="shared" si="8"/>
        <v>0</v>
      </c>
      <c r="G168" s="183">
        <f>SUM(G135:G167)</f>
        <v>0</v>
      </c>
      <c r="H168" s="183">
        <f t="shared" si="8"/>
        <v>0</v>
      </c>
      <c r="I168" s="183">
        <f t="shared" si="8"/>
        <v>0</v>
      </c>
      <c r="J168" s="183">
        <f t="shared" si="8"/>
        <v>0</v>
      </c>
      <c r="K168" s="183">
        <f t="shared" si="8"/>
        <v>0</v>
      </c>
      <c r="L168" s="183">
        <f t="shared" si="8"/>
        <v>0</v>
      </c>
      <c r="M168" s="183">
        <f t="shared" si="8"/>
        <v>0</v>
      </c>
      <c r="N168" s="183">
        <f t="shared" si="8"/>
        <v>0</v>
      </c>
      <c r="O168" s="183">
        <f>SUM(O135:O167)</f>
        <v>0</v>
      </c>
      <c r="P168" s="183">
        <f t="shared" si="8"/>
        <v>0</v>
      </c>
      <c r="Q168" s="183">
        <f t="shared" si="8"/>
        <v>0</v>
      </c>
      <c r="R168" s="183">
        <f t="shared" si="8"/>
        <v>0</v>
      </c>
      <c r="S168" s="183">
        <f>SUM(S135:S167)</f>
        <v>0</v>
      </c>
      <c r="T168" s="183">
        <f>SUM(T135:T167)</f>
        <v>0</v>
      </c>
      <c r="U168" s="183">
        <f>SUM(U135:U167)</f>
        <v>0</v>
      </c>
      <c r="V168" s="183">
        <f t="shared" si="8"/>
        <v>0</v>
      </c>
      <c r="W168" s="183">
        <f>SUM(W135:W167)</f>
        <v>0</v>
      </c>
      <c r="X168" s="183">
        <f t="shared" si="8"/>
        <v>0</v>
      </c>
      <c r="Y168" s="183">
        <f>SUM(Y135:Y167)</f>
        <v>0</v>
      </c>
    </row>
    <row r="169" spans="1:25" x14ac:dyDescent="0.25">
      <c r="Y169" s="181">
        <f t="shared" si="7"/>
        <v>0</v>
      </c>
    </row>
    <row r="170" spans="1:25" x14ac:dyDescent="0.25">
      <c r="A170" s="180">
        <v>43617</v>
      </c>
      <c r="K170" s="185"/>
      <c r="Y170" s="181">
        <f t="shared" si="7"/>
        <v>0</v>
      </c>
    </row>
    <row r="171" spans="1:25" x14ac:dyDescent="0.25">
      <c r="A171" s="180">
        <v>43618</v>
      </c>
      <c r="B171" s="185"/>
      <c r="C171" s="185"/>
      <c r="D171" s="185"/>
      <c r="E171" s="185"/>
      <c r="F171" s="185"/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1">
        <f t="shared" si="7"/>
        <v>0</v>
      </c>
    </row>
    <row r="172" spans="1:25" x14ac:dyDescent="0.25">
      <c r="A172" s="180">
        <v>43619</v>
      </c>
      <c r="B172" s="185"/>
      <c r="C172" s="185"/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1">
        <f t="shared" si="7"/>
        <v>0</v>
      </c>
    </row>
    <row r="173" spans="1:25" x14ac:dyDescent="0.25">
      <c r="A173" s="180">
        <v>43620</v>
      </c>
      <c r="B173" s="185"/>
      <c r="C173" s="185"/>
      <c r="D173" s="185"/>
      <c r="E173" s="185"/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1">
        <f t="shared" si="7"/>
        <v>0</v>
      </c>
    </row>
    <row r="174" spans="1:25" x14ac:dyDescent="0.25">
      <c r="A174" s="180">
        <v>43621</v>
      </c>
      <c r="B174" s="185"/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1">
        <f t="shared" si="7"/>
        <v>0</v>
      </c>
    </row>
    <row r="175" spans="1:25" x14ac:dyDescent="0.25">
      <c r="A175" s="180">
        <v>43622</v>
      </c>
      <c r="B175" s="185"/>
      <c r="C175" s="185"/>
      <c r="D175" s="185"/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1">
        <f t="shared" si="7"/>
        <v>0</v>
      </c>
    </row>
    <row r="176" spans="1:25" x14ac:dyDescent="0.25">
      <c r="A176" s="180">
        <v>43623</v>
      </c>
      <c r="B176" s="185"/>
      <c r="C176" s="185"/>
      <c r="D176" s="185"/>
      <c r="E176" s="185"/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1">
        <f t="shared" si="7"/>
        <v>0</v>
      </c>
    </row>
    <row r="177" spans="1:25" x14ac:dyDescent="0.25">
      <c r="A177" s="180">
        <v>43624</v>
      </c>
      <c r="B177" s="185"/>
      <c r="C177" s="185"/>
      <c r="D177" s="185"/>
      <c r="E177" s="185"/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1">
        <f t="shared" si="7"/>
        <v>0</v>
      </c>
    </row>
    <row r="178" spans="1:25" x14ac:dyDescent="0.25">
      <c r="A178" s="180">
        <v>43625</v>
      </c>
      <c r="B178" s="185"/>
      <c r="C178" s="185"/>
      <c r="D178" s="185"/>
      <c r="E178" s="185"/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1">
        <f t="shared" si="7"/>
        <v>0</v>
      </c>
    </row>
    <row r="179" spans="1:25" x14ac:dyDescent="0.25">
      <c r="A179" s="180">
        <v>43626</v>
      </c>
      <c r="B179" s="185"/>
      <c r="C179" s="185"/>
      <c r="D179" s="185"/>
      <c r="E179" s="185"/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1">
        <f t="shared" si="7"/>
        <v>0</v>
      </c>
    </row>
    <row r="180" spans="1:25" x14ac:dyDescent="0.25">
      <c r="A180" s="180">
        <v>43627</v>
      </c>
      <c r="B180" s="185"/>
      <c r="C180" s="185"/>
      <c r="D180" s="185"/>
      <c r="E180" s="185"/>
      <c r="F180" s="185"/>
      <c r="G180" s="185"/>
      <c r="H180" s="185"/>
      <c r="I180" s="185"/>
      <c r="J180" s="185"/>
      <c r="K180" s="185"/>
      <c r="L180" s="185"/>
      <c r="M180" s="185"/>
      <c r="N180" s="185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1">
        <f t="shared" si="7"/>
        <v>0</v>
      </c>
    </row>
    <row r="181" spans="1:25" x14ac:dyDescent="0.25">
      <c r="A181" s="180">
        <v>43628</v>
      </c>
      <c r="B181" s="185"/>
      <c r="C181" s="185"/>
      <c r="D181" s="185"/>
      <c r="E181" s="185"/>
      <c r="F181" s="185"/>
      <c r="G181" s="185"/>
      <c r="H181" s="185"/>
      <c r="I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1">
        <f t="shared" si="7"/>
        <v>0</v>
      </c>
    </row>
    <row r="182" spans="1:25" x14ac:dyDescent="0.25">
      <c r="A182" s="180">
        <v>43629</v>
      </c>
      <c r="B182" s="185"/>
      <c r="C182" s="185"/>
      <c r="D182" s="185"/>
      <c r="E182" s="185"/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1">
        <f t="shared" si="7"/>
        <v>0</v>
      </c>
    </row>
    <row r="183" spans="1:25" x14ac:dyDescent="0.25">
      <c r="A183" s="180">
        <v>43630</v>
      </c>
      <c r="B183" s="185"/>
      <c r="C183" s="185"/>
      <c r="D183" s="185"/>
      <c r="E183" s="185"/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1">
        <f t="shared" si="7"/>
        <v>0</v>
      </c>
    </row>
    <row r="184" spans="1:25" x14ac:dyDescent="0.25">
      <c r="A184" s="180">
        <v>43631</v>
      </c>
      <c r="B184" s="185"/>
      <c r="C184" s="185"/>
      <c r="D184" s="185"/>
      <c r="E184" s="185"/>
      <c r="F184" s="185"/>
      <c r="G184" s="185"/>
      <c r="H184" s="185"/>
      <c r="I184" s="185"/>
      <c r="J184" s="185"/>
      <c r="K184" s="185"/>
      <c r="L184" s="185"/>
      <c r="M184" s="185"/>
      <c r="N184" s="185"/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1">
        <f t="shared" si="7"/>
        <v>0</v>
      </c>
    </row>
    <row r="185" spans="1:25" x14ac:dyDescent="0.25">
      <c r="A185" s="180">
        <v>43632</v>
      </c>
      <c r="B185" s="185"/>
      <c r="C185" s="185"/>
      <c r="D185" s="185"/>
      <c r="E185" s="185"/>
      <c r="F185" s="185"/>
      <c r="G185" s="185"/>
      <c r="H185" s="185"/>
      <c r="I185" s="185"/>
      <c r="J185" s="185"/>
      <c r="K185" s="185"/>
      <c r="L185" s="185"/>
      <c r="M185" s="185"/>
      <c r="N185" s="185"/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1">
        <f t="shared" si="7"/>
        <v>0</v>
      </c>
    </row>
    <row r="186" spans="1:25" x14ac:dyDescent="0.25">
      <c r="A186" s="180">
        <v>43633</v>
      </c>
      <c r="B186" s="185"/>
      <c r="C186" s="185"/>
      <c r="D186" s="185"/>
      <c r="E186" s="185"/>
      <c r="F186" s="185"/>
      <c r="G186" s="185"/>
      <c r="H186" s="185"/>
      <c r="I186" s="185"/>
      <c r="J186" s="185"/>
      <c r="K186" s="185"/>
      <c r="L186" s="185"/>
      <c r="M186" s="185"/>
      <c r="N186" s="185"/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1">
        <f t="shared" si="7"/>
        <v>0</v>
      </c>
    </row>
    <row r="187" spans="1:25" x14ac:dyDescent="0.25">
      <c r="A187" s="180">
        <v>43634</v>
      </c>
      <c r="B187" s="185"/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185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1">
        <f t="shared" si="7"/>
        <v>0</v>
      </c>
    </row>
    <row r="188" spans="1:25" x14ac:dyDescent="0.25">
      <c r="A188" s="180">
        <v>43635</v>
      </c>
      <c r="B188" s="185"/>
      <c r="C188" s="185"/>
      <c r="D188" s="185"/>
      <c r="E188" s="185"/>
      <c r="F188" s="185"/>
      <c r="G188" s="185"/>
      <c r="H188" s="185"/>
      <c r="I188" s="185"/>
      <c r="J188" s="185"/>
      <c r="K188" s="185"/>
      <c r="L188" s="185"/>
      <c r="M188" s="185"/>
      <c r="N188" s="185"/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1">
        <f t="shared" si="7"/>
        <v>0</v>
      </c>
    </row>
    <row r="189" spans="1:25" x14ac:dyDescent="0.25">
      <c r="A189" s="180">
        <v>43636</v>
      </c>
      <c r="B189" s="185"/>
      <c r="C189" s="185"/>
      <c r="D189" s="185"/>
      <c r="E189" s="185"/>
      <c r="F189" s="185"/>
      <c r="G189" s="185"/>
      <c r="H189" s="185"/>
      <c r="I189" s="185"/>
      <c r="J189" s="185"/>
      <c r="K189" s="185"/>
      <c r="L189" s="185"/>
      <c r="M189" s="185"/>
      <c r="N189" s="185"/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1">
        <f t="shared" si="7"/>
        <v>0</v>
      </c>
    </row>
    <row r="190" spans="1:25" x14ac:dyDescent="0.25">
      <c r="A190" s="180">
        <v>43637</v>
      </c>
      <c r="B190" s="185"/>
      <c r="C190" s="185"/>
      <c r="D190" s="185"/>
      <c r="E190" s="185"/>
      <c r="F190" s="185"/>
      <c r="G190" s="185"/>
      <c r="H190" s="185"/>
      <c r="I190" s="185"/>
      <c r="J190" s="185"/>
      <c r="K190" s="185"/>
      <c r="L190" s="185"/>
      <c r="M190" s="185"/>
      <c r="N190" s="185"/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1">
        <f t="shared" si="7"/>
        <v>0</v>
      </c>
    </row>
    <row r="191" spans="1:25" x14ac:dyDescent="0.25">
      <c r="A191" s="180">
        <v>43638</v>
      </c>
      <c r="B191" s="185"/>
      <c r="C191" s="185"/>
      <c r="D191" s="185"/>
      <c r="E191" s="185"/>
      <c r="F191" s="185"/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1">
        <f t="shared" si="7"/>
        <v>0</v>
      </c>
    </row>
    <row r="192" spans="1:25" x14ac:dyDescent="0.25">
      <c r="A192" s="180">
        <v>43639</v>
      </c>
      <c r="B192" s="185"/>
      <c r="C192" s="185"/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1">
        <f t="shared" si="7"/>
        <v>0</v>
      </c>
    </row>
    <row r="193" spans="1:25" x14ac:dyDescent="0.25">
      <c r="A193" s="180">
        <v>43640</v>
      </c>
      <c r="B193" s="185"/>
      <c r="C193" s="185"/>
      <c r="D193" s="185"/>
      <c r="E193" s="185"/>
      <c r="F193" s="185"/>
      <c r="G193" s="185"/>
      <c r="H193" s="185"/>
      <c r="I193" s="185"/>
      <c r="J193" s="185"/>
      <c r="K193" s="185"/>
      <c r="L193" s="185"/>
      <c r="M193" s="185"/>
      <c r="N193" s="185"/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1">
        <f t="shared" si="7"/>
        <v>0</v>
      </c>
    </row>
    <row r="194" spans="1:25" x14ac:dyDescent="0.25">
      <c r="A194" s="180">
        <v>43641</v>
      </c>
      <c r="B194" s="185"/>
      <c r="C194" s="185"/>
      <c r="D194" s="185"/>
      <c r="E194" s="185"/>
      <c r="F194" s="185"/>
      <c r="G194" s="185"/>
      <c r="H194" s="185"/>
      <c r="I194" s="185"/>
      <c r="J194" s="185"/>
      <c r="K194" s="185"/>
      <c r="L194" s="185"/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1">
        <f t="shared" si="7"/>
        <v>0</v>
      </c>
    </row>
    <row r="195" spans="1:25" x14ac:dyDescent="0.25">
      <c r="A195" s="180">
        <v>43642</v>
      </c>
      <c r="B195" s="185"/>
      <c r="C195" s="185"/>
      <c r="D195" s="185"/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1">
        <f t="shared" si="7"/>
        <v>0</v>
      </c>
    </row>
    <row r="196" spans="1:25" x14ac:dyDescent="0.25">
      <c r="A196" s="180">
        <v>43643</v>
      </c>
      <c r="B196" s="185"/>
      <c r="C196" s="185"/>
      <c r="D196" s="185"/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1">
        <f t="shared" si="7"/>
        <v>0</v>
      </c>
    </row>
    <row r="197" spans="1:25" x14ac:dyDescent="0.25">
      <c r="A197" s="180">
        <v>43644</v>
      </c>
      <c r="B197" s="185"/>
      <c r="C197" s="185"/>
      <c r="D197" s="185"/>
      <c r="E197" s="185"/>
      <c r="F197" s="185"/>
      <c r="G197" s="185"/>
      <c r="H197" s="185"/>
      <c r="I197" s="185"/>
      <c r="J197" s="185"/>
      <c r="K197" s="185"/>
      <c r="L197" s="185"/>
      <c r="M197" s="185"/>
      <c r="N197" s="185"/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1">
        <f t="shared" si="7"/>
        <v>0</v>
      </c>
    </row>
    <row r="198" spans="1:25" x14ac:dyDescent="0.25">
      <c r="A198" s="180">
        <v>43645</v>
      </c>
      <c r="B198" s="185"/>
      <c r="C198" s="185"/>
      <c r="D198" s="185"/>
      <c r="E198" s="185"/>
      <c r="F198" s="185"/>
      <c r="G198" s="185"/>
      <c r="H198" s="185"/>
      <c r="I198" s="185"/>
      <c r="J198" s="185"/>
      <c r="K198" s="185"/>
      <c r="L198" s="185"/>
      <c r="M198" s="185"/>
      <c r="N198" s="185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1">
        <f t="shared" si="7"/>
        <v>0</v>
      </c>
    </row>
    <row r="199" spans="1:25" x14ac:dyDescent="0.25">
      <c r="A199" s="180">
        <v>43646</v>
      </c>
      <c r="B199" s="185"/>
      <c r="C199" s="185"/>
      <c r="D199" s="185"/>
      <c r="E199" s="185"/>
      <c r="F199" s="185"/>
      <c r="G199" s="185"/>
      <c r="H199" s="185"/>
      <c r="I199" s="185"/>
      <c r="J199" s="185"/>
      <c r="K199" s="185"/>
      <c r="L199" s="185"/>
      <c r="M199" s="185"/>
      <c r="N199" s="185"/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1">
        <f t="shared" si="7"/>
        <v>0</v>
      </c>
    </row>
    <row r="200" spans="1:25" x14ac:dyDescent="0.25">
      <c r="B200" s="185"/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1">
        <f t="shared" si="7"/>
        <v>0</v>
      </c>
    </row>
    <row r="201" spans="1:25" x14ac:dyDescent="0.25">
      <c r="B201" s="183">
        <f>SUM(B169:B200)</f>
        <v>0</v>
      </c>
      <c r="C201" s="183">
        <f t="shared" ref="C201:Y201" si="9">SUM(C169:C200)</f>
        <v>0</v>
      </c>
      <c r="D201" s="183">
        <f t="shared" si="9"/>
        <v>0</v>
      </c>
      <c r="E201" s="183">
        <f t="shared" si="9"/>
        <v>0</v>
      </c>
      <c r="F201" s="183">
        <f t="shared" si="9"/>
        <v>0</v>
      </c>
      <c r="G201" s="183">
        <f>SUM(G169:G200)</f>
        <v>0</v>
      </c>
      <c r="H201" s="183">
        <f t="shared" si="9"/>
        <v>0</v>
      </c>
      <c r="I201" s="183">
        <f t="shared" si="9"/>
        <v>0</v>
      </c>
      <c r="J201" s="183">
        <f t="shared" si="9"/>
        <v>0</v>
      </c>
      <c r="K201" s="183">
        <f t="shared" si="9"/>
        <v>0</v>
      </c>
      <c r="L201" s="183">
        <f t="shared" si="9"/>
        <v>0</v>
      </c>
      <c r="M201" s="183">
        <f t="shared" si="9"/>
        <v>0</v>
      </c>
      <c r="N201" s="183">
        <f t="shared" si="9"/>
        <v>0</v>
      </c>
      <c r="O201" s="183">
        <f>SUM(O169:O200)</f>
        <v>0</v>
      </c>
      <c r="P201" s="183">
        <f t="shared" si="9"/>
        <v>0</v>
      </c>
      <c r="Q201" s="183">
        <f t="shared" si="9"/>
        <v>0</v>
      </c>
      <c r="R201" s="183">
        <f t="shared" si="9"/>
        <v>0</v>
      </c>
      <c r="S201" s="183">
        <f>SUM(S169:S200)</f>
        <v>0</v>
      </c>
      <c r="T201" s="183">
        <f>SUM(T169:T200)</f>
        <v>0</v>
      </c>
      <c r="U201" s="183">
        <f>SUM(U169:U200)</f>
        <v>0</v>
      </c>
      <c r="V201" s="183">
        <f>SUM(V169:V200)</f>
        <v>0</v>
      </c>
      <c r="W201" s="183">
        <f>SUM(W169:W200)</f>
        <v>0</v>
      </c>
      <c r="X201" s="183">
        <f t="shared" si="9"/>
        <v>0</v>
      </c>
      <c r="Y201" s="183">
        <f t="shared" si="9"/>
        <v>0</v>
      </c>
    </row>
    <row r="202" spans="1:25" x14ac:dyDescent="0.25">
      <c r="Y202" s="181">
        <f t="shared" si="7"/>
        <v>0</v>
      </c>
    </row>
    <row r="203" spans="1:25" x14ac:dyDescent="0.25">
      <c r="A203" s="180">
        <v>43647</v>
      </c>
      <c r="Y203" s="181">
        <f t="shared" si="7"/>
        <v>0</v>
      </c>
    </row>
    <row r="204" spans="1:25" x14ac:dyDescent="0.25">
      <c r="A204" s="180">
        <v>43648</v>
      </c>
      <c r="B204" s="185"/>
      <c r="C204" s="185"/>
      <c r="D204" s="185"/>
      <c r="E204" s="185"/>
      <c r="F204" s="185"/>
      <c r="G204" s="185"/>
      <c r="H204" s="185"/>
      <c r="I204" s="185"/>
      <c r="J204" s="185"/>
      <c r="K204" s="185"/>
      <c r="L204" s="185"/>
      <c r="M204" s="185"/>
      <c r="N204" s="185"/>
      <c r="O204" s="185"/>
      <c r="P204" s="185"/>
      <c r="Q204" s="185"/>
      <c r="R204" s="185"/>
      <c r="S204" s="185"/>
      <c r="T204" s="185"/>
      <c r="U204" s="185"/>
      <c r="V204" s="185"/>
      <c r="W204" s="185"/>
      <c r="X204" s="185"/>
      <c r="Y204" s="181">
        <f t="shared" si="7"/>
        <v>0</v>
      </c>
    </row>
    <row r="205" spans="1:25" x14ac:dyDescent="0.25">
      <c r="A205" s="180">
        <v>43649</v>
      </c>
      <c r="B205" s="185"/>
      <c r="C205" s="185"/>
      <c r="D205" s="185"/>
      <c r="E205" s="185"/>
      <c r="F205" s="185"/>
      <c r="G205" s="185"/>
      <c r="H205" s="185"/>
      <c r="I205" s="185"/>
      <c r="J205" s="185"/>
      <c r="K205" s="185"/>
      <c r="L205" s="185"/>
      <c r="M205" s="185"/>
      <c r="N205" s="185"/>
      <c r="O205" s="185"/>
      <c r="P205" s="185"/>
      <c r="Q205" s="185"/>
      <c r="R205" s="185"/>
      <c r="S205" s="185"/>
      <c r="T205" s="185"/>
      <c r="U205" s="185"/>
      <c r="V205" s="185"/>
      <c r="W205" s="185"/>
      <c r="X205" s="185"/>
      <c r="Y205" s="181">
        <f t="shared" si="7"/>
        <v>0</v>
      </c>
    </row>
    <row r="206" spans="1:25" x14ac:dyDescent="0.25">
      <c r="A206" s="180">
        <v>43650</v>
      </c>
      <c r="B206" s="185"/>
      <c r="C206" s="185"/>
      <c r="D206" s="185"/>
      <c r="E206" s="185"/>
      <c r="F206" s="185"/>
      <c r="G206" s="185"/>
      <c r="H206" s="185"/>
      <c r="I206" s="185"/>
      <c r="J206" s="185"/>
      <c r="K206" s="185"/>
      <c r="L206" s="185"/>
      <c r="M206" s="185"/>
      <c r="N206" s="185"/>
      <c r="O206" s="185"/>
      <c r="P206" s="185"/>
      <c r="Q206" s="185"/>
      <c r="R206" s="185"/>
      <c r="S206" s="185"/>
      <c r="T206" s="185"/>
      <c r="U206" s="185"/>
      <c r="V206" s="185"/>
      <c r="W206" s="185"/>
      <c r="X206" s="185"/>
      <c r="Y206" s="181">
        <f t="shared" si="7"/>
        <v>0</v>
      </c>
    </row>
    <row r="207" spans="1:25" x14ac:dyDescent="0.25">
      <c r="A207" s="180">
        <v>43651</v>
      </c>
      <c r="B207" s="185"/>
      <c r="C207" s="185"/>
      <c r="D207" s="185"/>
      <c r="E207" s="185"/>
      <c r="F207" s="185"/>
      <c r="G207" s="185"/>
      <c r="H207" s="185"/>
      <c r="I207" s="185"/>
      <c r="J207" s="185"/>
      <c r="K207" s="185"/>
      <c r="L207" s="185"/>
      <c r="M207" s="185"/>
      <c r="N207" s="185"/>
      <c r="O207" s="185"/>
      <c r="P207" s="185"/>
      <c r="Q207" s="185"/>
      <c r="R207" s="185"/>
      <c r="S207" s="185"/>
      <c r="T207" s="185"/>
      <c r="U207" s="185"/>
      <c r="V207" s="185"/>
      <c r="W207" s="185"/>
      <c r="X207" s="185"/>
      <c r="Y207" s="181">
        <f t="shared" si="7"/>
        <v>0</v>
      </c>
    </row>
    <row r="208" spans="1:25" x14ac:dyDescent="0.25">
      <c r="A208" s="180">
        <v>43652</v>
      </c>
      <c r="B208" s="185"/>
      <c r="C208" s="185"/>
      <c r="D208" s="185"/>
      <c r="E208" s="185"/>
      <c r="F208" s="185"/>
      <c r="G208" s="185"/>
      <c r="H208" s="185"/>
      <c r="I208" s="185"/>
      <c r="J208" s="185"/>
      <c r="K208" s="185"/>
      <c r="L208" s="185"/>
      <c r="M208" s="185"/>
      <c r="N208" s="185"/>
      <c r="O208" s="185"/>
      <c r="P208" s="185"/>
      <c r="Q208" s="185"/>
      <c r="R208" s="185"/>
      <c r="S208" s="185"/>
      <c r="T208" s="185"/>
      <c r="U208" s="185"/>
      <c r="V208" s="185"/>
      <c r="W208" s="185"/>
      <c r="X208" s="185"/>
      <c r="Y208" s="181">
        <f t="shared" si="7"/>
        <v>0</v>
      </c>
    </row>
    <row r="209" spans="1:25" x14ac:dyDescent="0.25">
      <c r="A209" s="180">
        <v>43653</v>
      </c>
      <c r="B209" s="185"/>
      <c r="C209" s="185"/>
      <c r="D209" s="185"/>
      <c r="E209" s="185"/>
      <c r="F209" s="185"/>
      <c r="G209" s="185"/>
      <c r="H209" s="185"/>
      <c r="I209" s="185"/>
      <c r="J209" s="185"/>
      <c r="K209" s="185"/>
      <c r="L209" s="185"/>
      <c r="M209" s="185"/>
      <c r="N209" s="185"/>
      <c r="O209" s="185"/>
      <c r="P209" s="185"/>
      <c r="Q209" s="185"/>
      <c r="R209" s="185"/>
      <c r="S209" s="185"/>
      <c r="T209" s="185"/>
      <c r="U209" s="185"/>
      <c r="V209" s="185"/>
      <c r="W209" s="185"/>
      <c r="X209" s="185"/>
      <c r="Y209" s="181">
        <f t="shared" si="7"/>
        <v>0</v>
      </c>
    </row>
    <row r="210" spans="1:25" x14ac:dyDescent="0.25">
      <c r="A210" s="180">
        <v>43654</v>
      </c>
      <c r="B210" s="185"/>
      <c r="C210" s="185"/>
      <c r="D210" s="185"/>
      <c r="E210" s="185"/>
      <c r="F210" s="185"/>
      <c r="G210" s="185"/>
      <c r="H210" s="185"/>
      <c r="I210" s="185"/>
      <c r="J210" s="185"/>
      <c r="K210" s="185"/>
      <c r="L210" s="185"/>
      <c r="M210" s="185"/>
      <c r="N210" s="185"/>
      <c r="O210" s="185"/>
      <c r="P210" s="185"/>
      <c r="Q210" s="185"/>
      <c r="R210" s="185"/>
      <c r="S210" s="185"/>
      <c r="T210" s="185"/>
      <c r="U210" s="185"/>
      <c r="V210" s="185"/>
      <c r="W210" s="185"/>
      <c r="X210" s="185"/>
      <c r="Y210" s="181">
        <f t="shared" si="7"/>
        <v>0</v>
      </c>
    </row>
    <row r="211" spans="1:25" x14ac:dyDescent="0.25">
      <c r="A211" s="180">
        <v>43655</v>
      </c>
      <c r="B211" s="185"/>
      <c r="C211" s="185"/>
      <c r="D211" s="185"/>
      <c r="E211" s="185"/>
      <c r="F211" s="185"/>
      <c r="G211" s="185"/>
      <c r="H211" s="185"/>
      <c r="I211" s="185"/>
      <c r="J211" s="185"/>
      <c r="K211" s="185"/>
      <c r="L211" s="185"/>
      <c r="M211" s="185"/>
      <c r="N211" s="185"/>
      <c r="O211" s="185"/>
      <c r="P211" s="185"/>
      <c r="Q211" s="185"/>
      <c r="R211" s="185"/>
      <c r="S211" s="185"/>
      <c r="T211" s="185"/>
      <c r="U211" s="185"/>
      <c r="V211" s="185"/>
      <c r="W211" s="185"/>
      <c r="X211" s="185"/>
      <c r="Y211" s="181">
        <f t="shared" si="7"/>
        <v>0</v>
      </c>
    </row>
    <row r="212" spans="1:25" x14ac:dyDescent="0.25">
      <c r="A212" s="180">
        <v>43656</v>
      </c>
      <c r="B212" s="185"/>
      <c r="C212" s="185"/>
      <c r="D212" s="185"/>
      <c r="E212" s="185"/>
      <c r="F212" s="185"/>
      <c r="G212" s="185"/>
      <c r="H212" s="185"/>
      <c r="I212" s="185"/>
      <c r="J212" s="185"/>
      <c r="K212" s="185"/>
      <c r="L212" s="185"/>
      <c r="M212" s="185"/>
      <c r="N212" s="185"/>
      <c r="O212" s="185"/>
      <c r="P212" s="185"/>
      <c r="Q212" s="185"/>
      <c r="R212" s="185"/>
      <c r="S212" s="185"/>
      <c r="T212" s="185"/>
      <c r="U212" s="185"/>
      <c r="V212" s="185"/>
      <c r="W212" s="185"/>
      <c r="X212" s="185"/>
      <c r="Y212" s="181">
        <f t="shared" si="7"/>
        <v>0</v>
      </c>
    </row>
    <row r="213" spans="1:25" x14ac:dyDescent="0.25">
      <c r="A213" s="180">
        <v>43657</v>
      </c>
      <c r="B213" s="185"/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185"/>
      <c r="N213" s="185"/>
      <c r="O213" s="185"/>
      <c r="P213" s="185"/>
      <c r="Q213" s="185"/>
      <c r="R213" s="185"/>
      <c r="S213" s="185"/>
      <c r="T213" s="185"/>
      <c r="U213" s="185"/>
      <c r="V213" s="185"/>
      <c r="W213" s="185"/>
      <c r="X213" s="185"/>
      <c r="Y213" s="181">
        <f t="shared" si="7"/>
        <v>0</v>
      </c>
    </row>
    <row r="214" spans="1:25" x14ac:dyDescent="0.25">
      <c r="A214" s="180">
        <v>43658</v>
      </c>
      <c r="B214" s="185"/>
      <c r="C214" s="185"/>
      <c r="D214" s="185"/>
      <c r="E214" s="185"/>
      <c r="F214" s="185"/>
      <c r="G214" s="185"/>
      <c r="H214" s="185"/>
      <c r="I214" s="185"/>
      <c r="J214" s="185"/>
      <c r="K214" s="185"/>
      <c r="L214" s="185"/>
      <c r="M214" s="185"/>
      <c r="N214" s="185"/>
      <c r="O214" s="185"/>
      <c r="P214" s="185"/>
      <c r="Q214" s="185"/>
      <c r="R214" s="185"/>
      <c r="S214" s="185"/>
      <c r="T214" s="185"/>
      <c r="U214" s="185"/>
      <c r="V214" s="185"/>
      <c r="W214" s="185"/>
      <c r="X214" s="185"/>
      <c r="Y214" s="181">
        <f t="shared" si="7"/>
        <v>0</v>
      </c>
    </row>
    <row r="215" spans="1:25" x14ac:dyDescent="0.25">
      <c r="A215" s="180">
        <v>43659</v>
      </c>
      <c r="B215" s="185"/>
      <c r="C215" s="185"/>
      <c r="D215" s="185"/>
      <c r="E215" s="185"/>
      <c r="F215" s="185"/>
      <c r="G215" s="185"/>
      <c r="H215" s="185"/>
      <c r="I215" s="185"/>
      <c r="J215" s="185"/>
      <c r="K215" s="185"/>
      <c r="L215" s="185"/>
      <c r="M215" s="185"/>
      <c r="N215" s="185"/>
      <c r="O215" s="185"/>
      <c r="P215" s="185"/>
      <c r="Q215" s="185"/>
      <c r="R215" s="185"/>
      <c r="S215" s="185"/>
      <c r="T215" s="185"/>
      <c r="U215" s="185"/>
      <c r="V215" s="185"/>
      <c r="W215" s="185"/>
      <c r="X215" s="185"/>
      <c r="Y215" s="181">
        <f t="shared" si="7"/>
        <v>0</v>
      </c>
    </row>
    <row r="216" spans="1:25" x14ac:dyDescent="0.25">
      <c r="A216" s="180">
        <v>43660</v>
      </c>
      <c r="B216" s="185"/>
      <c r="C216" s="185"/>
      <c r="D216" s="185"/>
      <c r="E216" s="185"/>
      <c r="F216" s="185"/>
      <c r="G216" s="185"/>
      <c r="H216" s="185"/>
      <c r="I216" s="185"/>
      <c r="J216" s="185"/>
      <c r="K216" s="185"/>
      <c r="L216" s="185"/>
      <c r="M216" s="185"/>
      <c r="N216" s="185"/>
      <c r="O216" s="185"/>
      <c r="P216" s="185"/>
      <c r="Q216" s="185"/>
      <c r="R216" s="185"/>
      <c r="S216" s="185"/>
      <c r="T216" s="185"/>
      <c r="U216" s="185"/>
      <c r="V216" s="185"/>
      <c r="W216" s="185"/>
      <c r="X216" s="185"/>
      <c r="Y216" s="181">
        <f t="shared" si="7"/>
        <v>0</v>
      </c>
    </row>
    <row r="217" spans="1:25" x14ac:dyDescent="0.25">
      <c r="A217" s="180">
        <v>43661</v>
      </c>
      <c r="B217" s="185"/>
      <c r="C217" s="185"/>
      <c r="D217" s="185"/>
      <c r="E217" s="185"/>
      <c r="F217" s="185"/>
      <c r="G217" s="185"/>
      <c r="H217" s="185"/>
      <c r="I217" s="185"/>
      <c r="J217" s="185"/>
      <c r="K217" s="185"/>
      <c r="L217" s="185"/>
      <c r="M217" s="185"/>
      <c r="N217" s="185"/>
      <c r="O217" s="185"/>
      <c r="P217" s="185"/>
      <c r="Q217" s="185"/>
      <c r="R217" s="185"/>
      <c r="S217" s="185"/>
      <c r="T217" s="185"/>
      <c r="U217" s="185"/>
      <c r="V217" s="185"/>
      <c r="W217" s="185"/>
      <c r="X217" s="185"/>
      <c r="Y217" s="181">
        <f t="shared" si="7"/>
        <v>0</v>
      </c>
    </row>
    <row r="218" spans="1:25" x14ac:dyDescent="0.25">
      <c r="A218" s="180">
        <v>43662</v>
      </c>
      <c r="B218" s="185"/>
      <c r="C218" s="185"/>
      <c r="D218" s="185"/>
      <c r="E218" s="185"/>
      <c r="F218" s="185"/>
      <c r="G218" s="185"/>
      <c r="H218" s="185"/>
      <c r="I218" s="185"/>
      <c r="J218" s="185"/>
      <c r="K218" s="185"/>
      <c r="L218" s="185"/>
      <c r="M218" s="185"/>
      <c r="N218" s="185"/>
      <c r="O218" s="185"/>
      <c r="P218" s="185"/>
      <c r="Q218" s="185"/>
      <c r="R218" s="185"/>
      <c r="S218" s="185"/>
      <c r="T218" s="185"/>
      <c r="U218" s="185"/>
      <c r="V218" s="185"/>
      <c r="W218" s="185"/>
      <c r="X218" s="185"/>
      <c r="Y218" s="181">
        <f t="shared" si="7"/>
        <v>0</v>
      </c>
    </row>
    <row r="219" spans="1:25" x14ac:dyDescent="0.25">
      <c r="A219" s="180">
        <v>43663</v>
      </c>
      <c r="B219" s="185"/>
      <c r="C219" s="185"/>
      <c r="D219" s="185"/>
      <c r="E219" s="185"/>
      <c r="F219" s="185"/>
      <c r="G219" s="185"/>
      <c r="H219" s="185"/>
      <c r="I219" s="185"/>
      <c r="J219" s="185"/>
      <c r="K219" s="185"/>
      <c r="L219" s="185"/>
      <c r="M219" s="185"/>
      <c r="N219" s="185"/>
      <c r="O219" s="185"/>
      <c r="P219" s="185"/>
      <c r="Q219" s="185"/>
      <c r="R219" s="185"/>
      <c r="S219" s="185"/>
      <c r="T219" s="185"/>
      <c r="U219" s="185"/>
      <c r="V219" s="185"/>
      <c r="W219" s="185"/>
      <c r="X219" s="185"/>
      <c r="Y219" s="181">
        <f t="shared" si="7"/>
        <v>0</v>
      </c>
    </row>
    <row r="220" spans="1:25" x14ac:dyDescent="0.25">
      <c r="A220" s="180">
        <v>43664</v>
      </c>
      <c r="B220" s="185"/>
      <c r="C220" s="185"/>
      <c r="D220" s="185"/>
      <c r="E220" s="185"/>
      <c r="F220" s="185"/>
      <c r="G220" s="185"/>
      <c r="H220" s="185"/>
      <c r="I220" s="185"/>
      <c r="J220" s="185"/>
      <c r="K220" s="185"/>
      <c r="L220" s="185"/>
      <c r="M220" s="185"/>
      <c r="N220" s="185"/>
      <c r="O220" s="185"/>
      <c r="P220" s="185"/>
      <c r="Q220" s="185"/>
      <c r="R220" s="185"/>
      <c r="S220" s="185"/>
      <c r="T220" s="185"/>
      <c r="U220" s="185"/>
      <c r="V220" s="185"/>
      <c r="W220" s="185"/>
      <c r="X220" s="185"/>
      <c r="Y220" s="181">
        <f t="shared" si="7"/>
        <v>0</v>
      </c>
    </row>
    <row r="221" spans="1:25" x14ac:dyDescent="0.25">
      <c r="A221" s="180">
        <v>43665</v>
      </c>
      <c r="B221" s="185"/>
      <c r="C221" s="185"/>
      <c r="D221" s="185"/>
      <c r="E221" s="185"/>
      <c r="F221" s="185"/>
      <c r="G221" s="185"/>
      <c r="H221" s="185"/>
      <c r="I221" s="185"/>
      <c r="J221" s="185"/>
      <c r="K221" s="185"/>
      <c r="L221" s="185"/>
      <c r="M221" s="185"/>
      <c r="N221" s="185"/>
      <c r="O221" s="185"/>
      <c r="P221" s="185"/>
      <c r="Q221" s="185"/>
      <c r="R221" s="185"/>
      <c r="S221" s="185"/>
      <c r="T221" s="185"/>
      <c r="U221" s="185"/>
      <c r="V221" s="185"/>
      <c r="W221" s="185"/>
      <c r="X221" s="185"/>
      <c r="Y221" s="181">
        <f t="shared" si="7"/>
        <v>0</v>
      </c>
    </row>
    <row r="222" spans="1:25" x14ac:dyDescent="0.25">
      <c r="A222" s="180">
        <v>43666</v>
      </c>
      <c r="B222" s="185"/>
      <c r="C222" s="185"/>
      <c r="D222" s="185"/>
      <c r="E222" s="185"/>
      <c r="F222" s="185"/>
      <c r="G222" s="185"/>
      <c r="H222" s="185"/>
      <c r="I222" s="185"/>
      <c r="J222" s="185"/>
      <c r="K222" s="185"/>
      <c r="L222" s="185"/>
      <c r="M222" s="185"/>
      <c r="N222" s="185"/>
      <c r="O222" s="185"/>
      <c r="P222" s="185"/>
      <c r="Q222" s="185"/>
      <c r="R222" s="185"/>
      <c r="S222" s="185"/>
      <c r="T222" s="185"/>
      <c r="U222" s="185"/>
      <c r="V222" s="185"/>
      <c r="W222" s="185"/>
      <c r="X222" s="185"/>
      <c r="Y222" s="181">
        <f t="shared" si="7"/>
        <v>0</v>
      </c>
    </row>
    <row r="223" spans="1:25" x14ac:dyDescent="0.25">
      <c r="A223" s="180">
        <v>43667</v>
      </c>
      <c r="B223" s="185"/>
      <c r="C223" s="185"/>
      <c r="D223" s="185"/>
      <c r="E223" s="185"/>
      <c r="F223" s="185"/>
      <c r="G223" s="185"/>
      <c r="H223" s="185"/>
      <c r="I223" s="185"/>
      <c r="J223" s="185"/>
      <c r="K223" s="185"/>
      <c r="L223" s="185"/>
      <c r="M223" s="185"/>
      <c r="N223" s="185"/>
      <c r="O223" s="185"/>
      <c r="P223" s="185"/>
      <c r="Q223" s="185"/>
      <c r="R223" s="185"/>
      <c r="S223" s="185"/>
      <c r="T223" s="185"/>
      <c r="U223" s="185"/>
      <c r="V223" s="185"/>
      <c r="W223" s="185"/>
      <c r="X223" s="185"/>
      <c r="Y223" s="181">
        <f t="shared" si="7"/>
        <v>0</v>
      </c>
    </row>
    <row r="224" spans="1:25" x14ac:dyDescent="0.25">
      <c r="A224" s="180">
        <v>43668</v>
      </c>
      <c r="B224" s="185"/>
      <c r="C224" s="185"/>
      <c r="D224" s="185"/>
      <c r="E224" s="185"/>
      <c r="F224" s="185"/>
      <c r="G224" s="185"/>
      <c r="H224" s="185"/>
      <c r="I224" s="185"/>
      <c r="J224" s="185"/>
      <c r="K224" s="185"/>
      <c r="L224" s="185"/>
      <c r="M224" s="185"/>
      <c r="N224" s="185"/>
      <c r="O224" s="185"/>
      <c r="P224" s="185"/>
      <c r="Q224" s="185"/>
      <c r="R224" s="185"/>
      <c r="S224" s="185"/>
      <c r="T224" s="185"/>
      <c r="U224" s="185"/>
      <c r="V224" s="185"/>
      <c r="W224" s="185"/>
      <c r="X224" s="185"/>
      <c r="Y224" s="181">
        <f t="shared" si="7"/>
        <v>0</v>
      </c>
    </row>
    <row r="225" spans="1:25" x14ac:dyDescent="0.25">
      <c r="A225" s="180">
        <v>43669</v>
      </c>
      <c r="B225" s="185"/>
      <c r="C225" s="185"/>
      <c r="D225" s="185"/>
      <c r="E225" s="185"/>
      <c r="F225" s="185"/>
      <c r="G225" s="185"/>
      <c r="H225" s="185"/>
      <c r="I225" s="185"/>
      <c r="J225" s="185"/>
      <c r="K225" s="185"/>
      <c r="L225" s="185"/>
      <c r="M225" s="185"/>
      <c r="N225" s="185"/>
      <c r="O225" s="185"/>
      <c r="P225" s="185"/>
      <c r="Q225" s="185"/>
      <c r="R225" s="185"/>
      <c r="S225" s="185"/>
      <c r="T225" s="185"/>
      <c r="U225" s="185"/>
      <c r="V225" s="185"/>
      <c r="W225" s="185"/>
      <c r="X225" s="185"/>
      <c r="Y225" s="181">
        <f t="shared" si="7"/>
        <v>0</v>
      </c>
    </row>
    <row r="226" spans="1:25" x14ac:dyDescent="0.25">
      <c r="A226" s="180">
        <v>43670</v>
      </c>
      <c r="B226" s="185"/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1">
        <f t="shared" si="7"/>
        <v>0</v>
      </c>
    </row>
    <row r="227" spans="1:25" x14ac:dyDescent="0.25">
      <c r="A227" s="180">
        <v>43671</v>
      </c>
      <c r="B227" s="185"/>
      <c r="C227" s="185"/>
      <c r="D227" s="185"/>
      <c r="E227" s="185"/>
      <c r="F227" s="185"/>
      <c r="G227" s="185"/>
      <c r="H227" s="185"/>
      <c r="I227" s="185"/>
      <c r="J227" s="185"/>
      <c r="K227" s="185"/>
      <c r="L227" s="185"/>
      <c r="M227" s="185"/>
      <c r="N227" s="185"/>
      <c r="O227" s="185"/>
      <c r="P227" s="185"/>
      <c r="Q227" s="185"/>
      <c r="R227" s="185"/>
      <c r="S227" s="185"/>
      <c r="T227" s="185"/>
      <c r="U227" s="185"/>
      <c r="V227" s="185"/>
      <c r="W227" s="185"/>
      <c r="X227" s="185"/>
      <c r="Y227" s="181">
        <f t="shared" si="7"/>
        <v>0</v>
      </c>
    </row>
    <row r="228" spans="1:25" x14ac:dyDescent="0.25">
      <c r="A228" s="180">
        <v>43672</v>
      </c>
      <c r="B228" s="185"/>
      <c r="C228" s="185"/>
      <c r="D228" s="185"/>
      <c r="E228" s="185"/>
      <c r="F228" s="185"/>
      <c r="G228" s="185"/>
      <c r="H228" s="185"/>
      <c r="I228" s="185"/>
      <c r="J228" s="185"/>
      <c r="K228" s="185"/>
      <c r="L228" s="185"/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5"/>
      <c r="Y228" s="181">
        <f t="shared" si="7"/>
        <v>0</v>
      </c>
    </row>
    <row r="229" spans="1:25" x14ac:dyDescent="0.25">
      <c r="A229" s="180">
        <v>43673</v>
      </c>
      <c r="B229" s="185"/>
      <c r="C229" s="185"/>
      <c r="D229" s="185"/>
      <c r="E229" s="185"/>
      <c r="F229" s="185"/>
      <c r="G229" s="185"/>
      <c r="H229" s="185"/>
      <c r="I229" s="185"/>
      <c r="J229" s="185"/>
      <c r="K229" s="185"/>
      <c r="L229" s="185"/>
      <c r="M229" s="185"/>
      <c r="N229" s="185"/>
      <c r="O229" s="185"/>
      <c r="P229" s="185"/>
      <c r="Q229" s="185"/>
      <c r="R229" s="185"/>
      <c r="S229" s="185"/>
      <c r="T229" s="185"/>
      <c r="U229" s="185"/>
      <c r="V229" s="185"/>
      <c r="W229" s="185"/>
      <c r="X229" s="185"/>
      <c r="Y229" s="181">
        <f t="shared" si="7"/>
        <v>0</v>
      </c>
    </row>
    <row r="230" spans="1:25" x14ac:dyDescent="0.25">
      <c r="A230" s="180">
        <v>43674</v>
      </c>
      <c r="B230" s="185"/>
      <c r="C230" s="185"/>
      <c r="D230" s="185"/>
      <c r="E230" s="185"/>
      <c r="F230" s="185"/>
      <c r="G230" s="185"/>
      <c r="H230" s="185"/>
      <c r="I230" s="185"/>
      <c r="J230" s="185"/>
      <c r="K230" s="185"/>
      <c r="L230" s="185"/>
      <c r="M230" s="185"/>
      <c r="N230" s="185"/>
      <c r="O230" s="185"/>
      <c r="P230" s="185"/>
      <c r="Q230" s="185"/>
      <c r="R230" s="185"/>
      <c r="S230" s="185"/>
      <c r="T230" s="185"/>
      <c r="U230" s="185"/>
      <c r="V230" s="185"/>
      <c r="W230" s="185"/>
      <c r="X230" s="185"/>
      <c r="Y230" s="181">
        <f t="shared" ref="Y230:Y293" si="10">SUM(B230:X230)</f>
        <v>0</v>
      </c>
    </row>
    <row r="231" spans="1:25" x14ac:dyDescent="0.25">
      <c r="A231" s="180">
        <v>43675</v>
      </c>
      <c r="B231" s="185"/>
      <c r="C231" s="185"/>
      <c r="D231" s="185"/>
      <c r="E231" s="185"/>
      <c r="F231" s="185"/>
      <c r="G231" s="185"/>
      <c r="H231" s="185"/>
      <c r="I231" s="185"/>
      <c r="J231" s="185"/>
      <c r="K231" s="185"/>
      <c r="L231" s="185"/>
      <c r="M231" s="185"/>
      <c r="N231" s="185"/>
      <c r="O231" s="185"/>
      <c r="P231" s="185"/>
      <c r="Q231" s="185"/>
      <c r="R231" s="185"/>
      <c r="S231" s="185"/>
      <c r="T231" s="185"/>
      <c r="U231" s="185"/>
      <c r="V231" s="185"/>
      <c r="W231" s="185"/>
      <c r="X231" s="185"/>
      <c r="Y231" s="181">
        <f t="shared" si="10"/>
        <v>0</v>
      </c>
    </row>
    <row r="232" spans="1:25" x14ac:dyDescent="0.25">
      <c r="A232" s="180">
        <v>43676</v>
      </c>
      <c r="B232" s="185"/>
      <c r="C232" s="185"/>
      <c r="D232" s="185"/>
      <c r="E232" s="185"/>
      <c r="F232" s="185"/>
      <c r="G232" s="185"/>
      <c r="H232" s="185"/>
      <c r="I232" s="185"/>
      <c r="J232" s="185"/>
      <c r="K232" s="185"/>
      <c r="L232" s="185"/>
      <c r="M232" s="185"/>
      <c r="N232" s="185"/>
      <c r="O232" s="185"/>
      <c r="P232" s="185"/>
      <c r="Q232" s="185"/>
      <c r="R232" s="185"/>
      <c r="S232" s="185"/>
      <c r="T232" s="185"/>
      <c r="U232" s="185"/>
      <c r="V232" s="185"/>
      <c r="W232" s="185"/>
      <c r="X232" s="185"/>
      <c r="Y232" s="181">
        <f t="shared" si="10"/>
        <v>0</v>
      </c>
    </row>
    <row r="233" spans="1:25" x14ac:dyDescent="0.25">
      <c r="A233" s="180">
        <v>43677</v>
      </c>
      <c r="B233" s="185"/>
      <c r="C233" s="185"/>
      <c r="D233" s="185"/>
      <c r="E233" s="185"/>
      <c r="F233" s="185"/>
      <c r="G233" s="185"/>
      <c r="H233" s="185"/>
      <c r="I233" s="185"/>
      <c r="J233" s="185"/>
      <c r="K233" s="185"/>
      <c r="L233" s="185"/>
      <c r="M233" s="185"/>
      <c r="N233" s="185"/>
      <c r="O233" s="185"/>
      <c r="P233" s="185"/>
      <c r="Q233" s="185"/>
      <c r="R233" s="185"/>
      <c r="S233" s="185"/>
      <c r="T233" s="185"/>
      <c r="U233" s="185"/>
      <c r="V233" s="185"/>
      <c r="W233" s="185"/>
      <c r="X233" s="185"/>
      <c r="Y233" s="181">
        <f t="shared" si="10"/>
        <v>0</v>
      </c>
    </row>
    <row r="234" spans="1:25" x14ac:dyDescent="0.25">
      <c r="B234" s="185"/>
      <c r="C234" s="185"/>
      <c r="D234" s="185"/>
      <c r="E234" s="185"/>
      <c r="F234" s="185"/>
      <c r="G234" s="185"/>
      <c r="H234" s="185"/>
      <c r="I234" s="185"/>
      <c r="J234" s="185"/>
      <c r="K234" s="185"/>
      <c r="L234" s="185"/>
      <c r="M234" s="185"/>
      <c r="N234" s="185"/>
      <c r="O234" s="185"/>
      <c r="P234" s="185"/>
      <c r="Q234" s="185"/>
      <c r="R234" s="185"/>
      <c r="S234" s="185"/>
      <c r="T234" s="185"/>
      <c r="U234" s="185"/>
      <c r="V234" s="185"/>
      <c r="W234" s="185"/>
      <c r="X234" s="185"/>
      <c r="Y234" s="181">
        <f t="shared" si="10"/>
        <v>0</v>
      </c>
    </row>
    <row r="235" spans="1:25" x14ac:dyDescent="0.25">
      <c r="B235" s="183">
        <f>SUM(B202:B234)</f>
        <v>0</v>
      </c>
      <c r="C235" s="183">
        <f t="shared" ref="C235:Y235" si="11">SUM(C202:C234)</f>
        <v>0</v>
      </c>
      <c r="D235" s="183">
        <f t="shared" si="11"/>
        <v>0</v>
      </c>
      <c r="E235" s="183">
        <f t="shared" si="11"/>
        <v>0</v>
      </c>
      <c r="F235" s="183">
        <f t="shared" si="11"/>
        <v>0</v>
      </c>
      <c r="G235" s="183">
        <f>SUM(G202:G234)</f>
        <v>0</v>
      </c>
      <c r="H235" s="183">
        <f t="shared" si="11"/>
        <v>0</v>
      </c>
      <c r="I235" s="183">
        <f t="shared" si="11"/>
        <v>0</v>
      </c>
      <c r="J235" s="183">
        <f t="shared" si="11"/>
        <v>0</v>
      </c>
      <c r="K235" s="183">
        <f t="shared" si="11"/>
        <v>0</v>
      </c>
      <c r="L235" s="183">
        <f t="shared" si="11"/>
        <v>0</v>
      </c>
      <c r="M235" s="183">
        <f t="shared" si="11"/>
        <v>0</v>
      </c>
      <c r="N235" s="183">
        <f t="shared" si="11"/>
        <v>0</v>
      </c>
      <c r="O235" s="183">
        <f>SUM(O202:O234)</f>
        <v>0</v>
      </c>
      <c r="P235" s="183">
        <f t="shared" si="11"/>
        <v>0</v>
      </c>
      <c r="Q235" s="183">
        <f t="shared" si="11"/>
        <v>0</v>
      </c>
      <c r="R235" s="183">
        <f t="shared" si="11"/>
        <v>0</v>
      </c>
      <c r="S235" s="183">
        <f>SUM(S202:S234)</f>
        <v>0</v>
      </c>
      <c r="T235" s="183">
        <f>SUM(T202:T234)</f>
        <v>0</v>
      </c>
      <c r="U235" s="183">
        <f>SUM(U202:U234)</f>
        <v>0</v>
      </c>
      <c r="V235" s="183">
        <f>SUM(V202:V234)</f>
        <v>0</v>
      </c>
      <c r="W235" s="183">
        <f>SUM(W202:W234)</f>
        <v>0</v>
      </c>
      <c r="X235" s="183">
        <f t="shared" si="11"/>
        <v>0</v>
      </c>
      <c r="Y235" s="183">
        <f t="shared" si="11"/>
        <v>0</v>
      </c>
    </row>
    <row r="236" spans="1:25" x14ac:dyDescent="0.25">
      <c r="Y236" s="181">
        <f t="shared" si="10"/>
        <v>0</v>
      </c>
    </row>
    <row r="237" spans="1:25" x14ac:dyDescent="0.25">
      <c r="A237" s="180">
        <v>43678</v>
      </c>
      <c r="Y237" s="181">
        <f t="shared" si="10"/>
        <v>0</v>
      </c>
    </row>
    <row r="238" spans="1:25" x14ac:dyDescent="0.25">
      <c r="A238" s="180">
        <v>43679</v>
      </c>
      <c r="B238" s="185"/>
      <c r="C238" s="185"/>
      <c r="D238" s="185"/>
      <c r="E238" s="185"/>
      <c r="F238" s="185"/>
      <c r="G238" s="185"/>
      <c r="H238" s="185"/>
      <c r="I238" s="185"/>
      <c r="J238" s="185"/>
      <c r="K238" s="185"/>
      <c r="L238" s="185"/>
      <c r="M238" s="185"/>
      <c r="N238" s="185"/>
      <c r="O238" s="185"/>
      <c r="P238" s="185"/>
      <c r="Q238" s="185"/>
      <c r="R238" s="185"/>
      <c r="S238" s="185"/>
      <c r="T238" s="185"/>
      <c r="U238" s="185"/>
      <c r="V238" s="185"/>
      <c r="W238" s="185"/>
      <c r="X238" s="185"/>
      <c r="Y238" s="181">
        <f t="shared" si="10"/>
        <v>0</v>
      </c>
    </row>
    <row r="239" spans="1:25" x14ac:dyDescent="0.25">
      <c r="A239" s="180">
        <v>43680</v>
      </c>
      <c r="B239" s="185"/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185"/>
      <c r="N239" s="185"/>
      <c r="O239" s="185"/>
      <c r="P239" s="185"/>
      <c r="Q239" s="185"/>
      <c r="R239" s="185"/>
      <c r="S239" s="185"/>
      <c r="T239" s="185"/>
      <c r="U239" s="185"/>
      <c r="V239" s="185"/>
      <c r="W239" s="185"/>
      <c r="X239" s="185"/>
      <c r="Y239" s="181">
        <f t="shared" si="10"/>
        <v>0</v>
      </c>
    </row>
    <row r="240" spans="1:25" x14ac:dyDescent="0.25">
      <c r="A240" s="180">
        <v>43681</v>
      </c>
      <c r="B240" s="185"/>
      <c r="C240" s="185"/>
      <c r="D240" s="185"/>
      <c r="E240" s="185"/>
      <c r="F240" s="185"/>
      <c r="G240" s="185"/>
      <c r="H240" s="185"/>
      <c r="I240" s="185"/>
      <c r="J240" s="185"/>
      <c r="K240" s="185"/>
      <c r="L240" s="185"/>
      <c r="M240" s="185"/>
      <c r="N240" s="185"/>
      <c r="O240" s="185"/>
      <c r="P240" s="185"/>
      <c r="Q240" s="185"/>
      <c r="R240" s="185"/>
      <c r="S240" s="185"/>
      <c r="T240" s="185"/>
      <c r="U240" s="185"/>
      <c r="V240" s="185"/>
      <c r="W240" s="185"/>
      <c r="X240" s="185"/>
      <c r="Y240" s="181">
        <f t="shared" si="10"/>
        <v>0</v>
      </c>
    </row>
    <row r="241" spans="1:25" x14ac:dyDescent="0.25">
      <c r="A241" s="180">
        <v>43682</v>
      </c>
      <c r="B241" s="185"/>
      <c r="C241" s="185"/>
      <c r="D241" s="185"/>
      <c r="E241" s="185"/>
      <c r="F241" s="185"/>
      <c r="G241" s="185"/>
      <c r="H241" s="185"/>
      <c r="I241" s="185"/>
      <c r="J241" s="185"/>
      <c r="K241" s="185"/>
      <c r="L241" s="185"/>
      <c r="M241" s="185"/>
      <c r="N241" s="185"/>
      <c r="O241" s="185"/>
      <c r="P241" s="185"/>
      <c r="Q241" s="185"/>
      <c r="R241" s="185"/>
      <c r="S241" s="185"/>
      <c r="T241" s="185"/>
      <c r="U241" s="185"/>
      <c r="V241" s="185"/>
      <c r="W241" s="185"/>
      <c r="X241" s="185"/>
      <c r="Y241" s="181">
        <f t="shared" si="10"/>
        <v>0</v>
      </c>
    </row>
    <row r="242" spans="1:25" x14ac:dyDescent="0.25">
      <c r="A242" s="180">
        <v>43683</v>
      </c>
      <c r="B242" s="185"/>
      <c r="C242" s="185"/>
      <c r="D242" s="185"/>
      <c r="E242" s="185"/>
      <c r="F242" s="185"/>
      <c r="G242" s="185"/>
      <c r="H242" s="185"/>
      <c r="I242" s="185"/>
      <c r="J242" s="185"/>
      <c r="K242" s="185"/>
      <c r="L242" s="185"/>
      <c r="M242" s="185"/>
      <c r="N242" s="185"/>
      <c r="O242" s="185"/>
      <c r="P242" s="185"/>
      <c r="Q242" s="185"/>
      <c r="R242" s="185"/>
      <c r="S242" s="185"/>
      <c r="T242" s="185"/>
      <c r="U242" s="185"/>
      <c r="V242" s="185"/>
      <c r="W242" s="185"/>
      <c r="X242" s="185"/>
      <c r="Y242" s="181">
        <f t="shared" si="10"/>
        <v>0</v>
      </c>
    </row>
    <row r="243" spans="1:25" x14ac:dyDescent="0.25">
      <c r="A243" s="180">
        <v>43684</v>
      </c>
      <c r="B243" s="185"/>
      <c r="C243" s="185"/>
      <c r="D243" s="185"/>
      <c r="E243" s="185"/>
      <c r="F243" s="185"/>
      <c r="G243" s="185"/>
      <c r="H243" s="185"/>
      <c r="I243" s="185"/>
      <c r="J243" s="185"/>
      <c r="K243" s="185"/>
      <c r="L243" s="185"/>
      <c r="M243" s="185"/>
      <c r="N243" s="185"/>
      <c r="O243" s="185"/>
      <c r="P243" s="185"/>
      <c r="Q243" s="185"/>
      <c r="R243" s="185"/>
      <c r="S243" s="185"/>
      <c r="T243" s="185"/>
      <c r="U243" s="185"/>
      <c r="V243" s="185"/>
      <c r="W243" s="185"/>
      <c r="X243" s="185"/>
      <c r="Y243" s="181">
        <f t="shared" si="10"/>
        <v>0</v>
      </c>
    </row>
    <row r="244" spans="1:25" x14ac:dyDescent="0.25">
      <c r="A244" s="180">
        <v>43685</v>
      </c>
      <c r="B244" s="185"/>
      <c r="C244" s="185"/>
      <c r="D244" s="185"/>
      <c r="E244" s="185"/>
      <c r="F244" s="185"/>
      <c r="G244" s="185"/>
      <c r="H244" s="185"/>
      <c r="I244" s="185"/>
      <c r="J244" s="185"/>
      <c r="K244" s="185"/>
      <c r="L244" s="185"/>
      <c r="M244" s="185"/>
      <c r="N244" s="185"/>
      <c r="O244" s="185"/>
      <c r="P244" s="185"/>
      <c r="Q244" s="185"/>
      <c r="R244" s="185"/>
      <c r="S244" s="185"/>
      <c r="T244" s="185"/>
      <c r="U244" s="185"/>
      <c r="V244" s="185"/>
      <c r="W244" s="185"/>
      <c r="X244" s="185"/>
      <c r="Y244" s="181">
        <f t="shared" si="10"/>
        <v>0</v>
      </c>
    </row>
    <row r="245" spans="1:25" x14ac:dyDescent="0.25">
      <c r="A245" s="180">
        <v>43686</v>
      </c>
      <c r="B245" s="185"/>
      <c r="C245" s="185"/>
      <c r="D245" s="185"/>
      <c r="E245" s="185"/>
      <c r="F245" s="185"/>
      <c r="G245" s="185"/>
      <c r="H245" s="185"/>
      <c r="I245" s="185"/>
      <c r="J245" s="185"/>
      <c r="K245" s="185"/>
      <c r="L245" s="185"/>
      <c r="M245" s="185"/>
      <c r="N245" s="185"/>
      <c r="O245" s="185"/>
      <c r="P245" s="185"/>
      <c r="Q245" s="185"/>
      <c r="R245" s="185"/>
      <c r="S245" s="185"/>
      <c r="T245" s="185"/>
      <c r="U245" s="185"/>
      <c r="V245" s="185"/>
      <c r="W245" s="185"/>
      <c r="X245" s="185"/>
      <c r="Y245" s="181">
        <f t="shared" si="10"/>
        <v>0</v>
      </c>
    </row>
    <row r="246" spans="1:25" x14ac:dyDescent="0.25">
      <c r="A246" s="180">
        <v>43687</v>
      </c>
      <c r="B246" s="185"/>
      <c r="C246" s="185"/>
      <c r="D246" s="185"/>
      <c r="E246" s="185"/>
      <c r="F246" s="185"/>
      <c r="G246" s="185"/>
      <c r="H246" s="185"/>
      <c r="I246" s="185"/>
      <c r="J246" s="185"/>
      <c r="K246" s="185"/>
      <c r="L246" s="185"/>
      <c r="M246" s="185"/>
      <c r="N246" s="185"/>
      <c r="O246" s="185"/>
      <c r="P246" s="185"/>
      <c r="Q246" s="185"/>
      <c r="R246" s="185"/>
      <c r="S246" s="185"/>
      <c r="T246" s="185"/>
      <c r="U246" s="185"/>
      <c r="V246" s="185"/>
      <c r="W246" s="185"/>
      <c r="X246" s="185"/>
      <c r="Y246" s="181">
        <f t="shared" si="10"/>
        <v>0</v>
      </c>
    </row>
    <row r="247" spans="1:25" x14ac:dyDescent="0.25">
      <c r="A247" s="180">
        <v>43688</v>
      </c>
      <c r="B247" s="185"/>
      <c r="C247" s="185"/>
      <c r="D247" s="185"/>
      <c r="E247" s="185"/>
      <c r="F247" s="185"/>
      <c r="G247" s="185"/>
      <c r="H247" s="185"/>
      <c r="I247" s="185"/>
      <c r="J247" s="185"/>
      <c r="K247" s="185"/>
      <c r="L247" s="185"/>
      <c r="M247" s="185"/>
      <c r="N247" s="185"/>
      <c r="O247" s="185"/>
      <c r="P247" s="185"/>
      <c r="Q247" s="185"/>
      <c r="R247" s="185"/>
      <c r="S247" s="185"/>
      <c r="T247" s="185"/>
      <c r="U247" s="185"/>
      <c r="V247" s="185"/>
      <c r="W247" s="185"/>
      <c r="X247" s="185"/>
      <c r="Y247" s="181">
        <f t="shared" si="10"/>
        <v>0</v>
      </c>
    </row>
    <row r="248" spans="1:25" x14ac:dyDescent="0.25">
      <c r="A248" s="180">
        <v>43689</v>
      </c>
      <c r="B248" s="185"/>
      <c r="C248" s="185"/>
      <c r="D248" s="185"/>
      <c r="E248" s="185"/>
      <c r="F248" s="185"/>
      <c r="G248" s="185"/>
      <c r="H248" s="185"/>
      <c r="I248" s="185"/>
      <c r="J248" s="185"/>
      <c r="K248" s="185"/>
      <c r="L248" s="185"/>
      <c r="M248" s="185"/>
      <c r="N248" s="185"/>
      <c r="O248" s="185"/>
      <c r="P248" s="185"/>
      <c r="Q248" s="185"/>
      <c r="R248" s="185"/>
      <c r="S248" s="185"/>
      <c r="T248" s="185"/>
      <c r="U248" s="185"/>
      <c r="V248" s="185"/>
      <c r="W248" s="185"/>
      <c r="X248" s="185"/>
      <c r="Y248" s="181">
        <f t="shared" si="10"/>
        <v>0</v>
      </c>
    </row>
    <row r="249" spans="1:25" x14ac:dyDescent="0.25">
      <c r="A249" s="180">
        <v>43690</v>
      </c>
      <c r="B249" s="185"/>
      <c r="C249" s="185"/>
      <c r="D249" s="185"/>
      <c r="E249" s="185"/>
      <c r="F249" s="185"/>
      <c r="G249" s="185"/>
      <c r="H249" s="185"/>
      <c r="I249" s="185"/>
      <c r="J249" s="185"/>
      <c r="K249" s="185"/>
      <c r="L249" s="185"/>
      <c r="M249" s="185"/>
      <c r="N249" s="185"/>
      <c r="O249" s="185"/>
      <c r="P249" s="185"/>
      <c r="Q249" s="185"/>
      <c r="R249" s="185"/>
      <c r="S249" s="185"/>
      <c r="T249" s="185"/>
      <c r="U249" s="185"/>
      <c r="V249" s="185"/>
      <c r="W249" s="185"/>
      <c r="X249" s="185"/>
      <c r="Y249" s="181">
        <f t="shared" si="10"/>
        <v>0</v>
      </c>
    </row>
    <row r="250" spans="1:25" x14ac:dyDescent="0.25">
      <c r="A250" s="180">
        <v>43691</v>
      </c>
      <c r="B250" s="185"/>
      <c r="C250" s="185"/>
      <c r="D250" s="185"/>
      <c r="E250" s="185"/>
      <c r="F250" s="185"/>
      <c r="G250" s="185"/>
      <c r="H250" s="185"/>
      <c r="I250" s="185"/>
      <c r="J250" s="185"/>
      <c r="K250" s="185"/>
      <c r="L250" s="185"/>
      <c r="M250" s="185"/>
      <c r="N250" s="185"/>
      <c r="O250" s="185"/>
      <c r="P250" s="185"/>
      <c r="Q250" s="185"/>
      <c r="R250" s="185"/>
      <c r="S250" s="185"/>
      <c r="T250" s="185"/>
      <c r="U250" s="185"/>
      <c r="V250" s="185"/>
      <c r="W250" s="185"/>
      <c r="X250" s="185"/>
      <c r="Y250" s="181">
        <f t="shared" si="10"/>
        <v>0</v>
      </c>
    </row>
    <row r="251" spans="1:25" x14ac:dyDescent="0.25">
      <c r="A251" s="180">
        <v>43692</v>
      </c>
      <c r="B251" s="185"/>
      <c r="C251" s="185"/>
      <c r="D251" s="185"/>
      <c r="E251" s="185"/>
      <c r="F251" s="185"/>
      <c r="G251" s="185"/>
      <c r="H251" s="185"/>
      <c r="I251" s="185"/>
      <c r="J251" s="185"/>
      <c r="K251" s="185"/>
      <c r="L251" s="185"/>
      <c r="M251" s="185"/>
      <c r="N251" s="185"/>
      <c r="O251" s="185"/>
      <c r="P251" s="185"/>
      <c r="Q251" s="185"/>
      <c r="R251" s="185"/>
      <c r="S251" s="185"/>
      <c r="T251" s="185"/>
      <c r="U251" s="185"/>
      <c r="V251" s="185"/>
      <c r="W251" s="185"/>
      <c r="X251" s="185"/>
      <c r="Y251" s="181">
        <f t="shared" si="10"/>
        <v>0</v>
      </c>
    </row>
    <row r="252" spans="1:25" x14ac:dyDescent="0.25">
      <c r="A252" s="180">
        <v>43693</v>
      </c>
      <c r="B252" s="185"/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185"/>
      <c r="N252" s="185"/>
      <c r="O252" s="185"/>
      <c r="P252" s="185"/>
      <c r="Q252" s="185"/>
      <c r="R252" s="185"/>
      <c r="S252" s="185"/>
      <c r="T252" s="185"/>
      <c r="U252" s="185"/>
      <c r="V252" s="185"/>
      <c r="W252" s="185"/>
      <c r="X252" s="185"/>
      <c r="Y252" s="181">
        <f t="shared" si="10"/>
        <v>0</v>
      </c>
    </row>
    <row r="253" spans="1:25" x14ac:dyDescent="0.25">
      <c r="A253" s="180">
        <v>43694</v>
      </c>
      <c r="B253" s="185"/>
      <c r="C253" s="185"/>
      <c r="D253" s="185"/>
      <c r="E253" s="185"/>
      <c r="F253" s="185"/>
      <c r="G253" s="185"/>
      <c r="H253" s="185"/>
      <c r="I253" s="185"/>
      <c r="J253" s="185"/>
      <c r="K253" s="185"/>
      <c r="L253" s="185"/>
      <c r="M253" s="185"/>
      <c r="N253" s="185"/>
      <c r="O253" s="185"/>
      <c r="P253" s="185"/>
      <c r="Q253" s="185"/>
      <c r="R253" s="185"/>
      <c r="S253" s="185"/>
      <c r="T253" s="185"/>
      <c r="U253" s="185"/>
      <c r="V253" s="185"/>
      <c r="W253" s="185"/>
      <c r="X253" s="185"/>
      <c r="Y253" s="181">
        <f t="shared" si="10"/>
        <v>0</v>
      </c>
    </row>
    <row r="254" spans="1:25" x14ac:dyDescent="0.25">
      <c r="A254" s="180">
        <v>43695</v>
      </c>
      <c r="B254" s="185"/>
      <c r="C254" s="185"/>
      <c r="D254" s="185"/>
      <c r="E254" s="185"/>
      <c r="F254" s="185"/>
      <c r="G254" s="185"/>
      <c r="H254" s="185"/>
      <c r="I254" s="185"/>
      <c r="J254" s="185"/>
      <c r="K254" s="185"/>
      <c r="L254" s="185"/>
      <c r="M254" s="185"/>
      <c r="N254" s="185"/>
      <c r="O254" s="185"/>
      <c r="P254" s="185"/>
      <c r="Q254" s="185"/>
      <c r="R254" s="185"/>
      <c r="S254" s="185"/>
      <c r="T254" s="185"/>
      <c r="U254" s="185"/>
      <c r="V254" s="185"/>
      <c r="W254" s="185"/>
      <c r="X254" s="185"/>
      <c r="Y254" s="181">
        <f t="shared" si="10"/>
        <v>0</v>
      </c>
    </row>
    <row r="255" spans="1:25" x14ac:dyDescent="0.25">
      <c r="A255" s="180">
        <v>43696</v>
      </c>
      <c r="B255" s="185"/>
      <c r="C255" s="185"/>
      <c r="D255" s="185"/>
      <c r="E255" s="185"/>
      <c r="F255" s="185"/>
      <c r="G255" s="185"/>
      <c r="H255" s="185"/>
      <c r="I255" s="185"/>
      <c r="J255" s="185"/>
      <c r="K255" s="185"/>
      <c r="L255" s="185"/>
      <c r="M255" s="185"/>
      <c r="N255" s="185"/>
      <c r="O255" s="185"/>
      <c r="P255" s="185"/>
      <c r="Q255" s="185"/>
      <c r="R255" s="185"/>
      <c r="S255" s="185"/>
      <c r="T255" s="185"/>
      <c r="U255" s="185"/>
      <c r="V255" s="185"/>
      <c r="W255" s="185"/>
      <c r="X255" s="185"/>
      <c r="Y255" s="181">
        <f t="shared" si="10"/>
        <v>0</v>
      </c>
    </row>
    <row r="256" spans="1:25" x14ac:dyDescent="0.25">
      <c r="A256" s="180">
        <v>43697</v>
      </c>
      <c r="B256" s="185"/>
      <c r="C256" s="185"/>
      <c r="D256" s="185"/>
      <c r="E256" s="185"/>
      <c r="F256" s="185"/>
      <c r="G256" s="185"/>
      <c r="H256" s="185"/>
      <c r="I256" s="185"/>
      <c r="J256" s="185"/>
      <c r="K256" s="185"/>
      <c r="L256" s="185"/>
      <c r="M256" s="185"/>
      <c r="N256" s="185"/>
      <c r="O256" s="185"/>
      <c r="P256" s="185"/>
      <c r="Q256" s="185"/>
      <c r="R256" s="185"/>
      <c r="S256" s="185"/>
      <c r="T256" s="185"/>
      <c r="U256" s="185"/>
      <c r="V256" s="185"/>
      <c r="W256" s="185"/>
      <c r="X256" s="185"/>
      <c r="Y256" s="181">
        <f t="shared" si="10"/>
        <v>0</v>
      </c>
    </row>
    <row r="257" spans="1:25" x14ac:dyDescent="0.25">
      <c r="A257" s="180">
        <v>43698</v>
      </c>
      <c r="B257" s="185"/>
      <c r="C257" s="185"/>
      <c r="D257" s="185"/>
      <c r="E257" s="185"/>
      <c r="F257" s="185"/>
      <c r="G257" s="185"/>
      <c r="H257" s="185"/>
      <c r="I257" s="185"/>
      <c r="J257" s="185"/>
      <c r="K257" s="185"/>
      <c r="L257" s="185"/>
      <c r="M257" s="185"/>
      <c r="N257" s="185"/>
      <c r="O257" s="185"/>
      <c r="P257" s="185"/>
      <c r="Q257" s="185"/>
      <c r="R257" s="185"/>
      <c r="S257" s="185"/>
      <c r="T257" s="185"/>
      <c r="U257" s="185"/>
      <c r="V257" s="185"/>
      <c r="W257" s="185"/>
      <c r="X257" s="185"/>
      <c r="Y257" s="181">
        <f t="shared" si="10"/>
        <v>0</v>
      </c>
    </row>
    <row r="258" spans="1:25" x14ac:dyDescent="0.25">
      <c r="A258" s="180">
        <v>43699</v>
      </c>
      <c r="B258" s="185"/>
      <c r="C258" s="185"/>
      <c r="D258" s="185"/>
      <c r="E258" s="185"/>
      <c r="F258" s="185"/>
      <c r="G258" s="185"/>
      <c r="H258" s="185"/>
      <c r="I258" s="185"/>
      <c r="J258" s="185"/>
      <c r="K258" s="185"/>
      <c r="L258" s="185"/>
      <c r="M258" s="185"/>
      <c r="N258" s="185"/>
      <c r="O258" s="185"/>
      <c r="P258" s="185"/>
      <c r="Q258" s="185"/>
      <c r="R258" s="185"/>
      <c r="S258" s="185"/>
      <c r="T258" s="185"/>
      <c r="U258" s="185"/>
      <c r="V258" s="185"/>
      <c r="W258" s="185"/>
      <c r="X258" s="185"/>
      <c r="Y258" s="181">
        <f t="shared" si="10"/>
        <v>0</v>
      </c>
    </row>
    <row r="259" spans="1:25" x14ac:dyDescent="0.25">
      <c r="A259" s="180">
        <v>43700</v>
      </c>
      <c r="B259" s="185"/>
      <c r="C259" s="185"/>
      <c r="D259" s="185"/>
      <c r="E259" s="185"/>
      <c r="F259" s="185"/>
      <c r="G259" s="185"/>
      <c r="H259" s="185"/>
      <c r="I259" s="185"/>
      <c r="J259" s="185"/>
      <c r="K259" s="185"/>
      <c r="L259" s="185"/>
      <c r="M259" s="185"/>
      <c r="N259" s="185"/>
      <c r="O259" s="185"/>
      <c r="P259" s="185"/>
      <c r="Q259" s="185"/>
      <c r="R259" s="185"/>
      <c r="S259" s="185"/>
      <c r="T259" s="185"/>
      <c r="U259" s="185"/>
      <c r="V259" s="185"/>
      <c r="W259" s="185"/>
      <c r="X259" s="185"/>
      <c r="Y259" s="181">
        <f t="shared" si="10"/>
        <v>0</v>
      </c>
    </row>
    <row r="260" spans="1:25" x14ac:dyDescent="0.25">
      <c r="A260" s="180">
        <v>43701</v>
      </c>
      <c r="B260" s="185"/>
      <c r="C260" s="185"/>
      <c r="D260" s="185"/>
      <c r="E260" s="185"/>
      <c r="F260" s="185"/>
      <c r="G260" s="185"/>
      <c r="H260" s="185"/>
      <c r="I260" s="185"/>
      <c r="J260" s="185"/>
      <c r="K260" s="185"/>
      <c r="L260" s="185"/>
      <c r="M260" s="185"/>
      <c r="N260" s="185"/>
      <c r="O260" s="185"/>
      <c r="P260" s="185"/>
      <c r="Q260" s="185"/>
      <c r="R260" s="185"/>
      <c r="S260" s="185"/>
      <c r="T260" s="185"/>
      <c r="U260" s="185"/>
      <c r="V260" s="185"/>
      <c r="W260" s="185"/>
      <c r="X260" s="185"/>
      <c r="Y260" s="181">
        <f t="shared" si="10"/>
        <v>0</v>
      </c>
    </row>
    <row r="261" spans="1:25" x14ac:dyDescent="0.25">
      <c r="A261" s="180">
        <v>43702</v>
      </c>
      <c r="B261" s="185"/>
      <c r="C261" s="185"/>
      <c r="D261" s="185"/>
      <c r="E261" s="185"/>
      <c r="F261" s="185"/>
      <c r="G261" s="185"/>
      <c r="H261" s="185"/>
      <c r="I261" s="185"/>
      <c r="J261" s="185"/>
      <c r="K261" s="185"/>
      <c r="L261" s="185"/>
      <c r="M261" s="185"/>
      <c r="N261" s="185"/>
      <c r="O261" s="185"/>
      <c r="P261" s="185"/>
      <c r="Q261" s="185"/>
      <c r="R261" s="185"/>
      <c r="S261" s="185"/>
      <c r="T261" s="185"/>
      <c r="U261" s="185"/>
      <c r="V261" s="185"/>
      <c r="W261" s="185"/>
      <c r="X261" s="185"/>
      <c r="Y261" s="181">
        <f t="shared" si="10"/>
        <v>0</v>
      </c>
    </row>
    <row r="262" spans="1:25" x14ac:dyDescent="0.25">
      <c r="A262" s="180">
        <v>43703</v>
      </c>
      <c r="B262" s="185"/>
      <c r="C262" s="185"/>
      <c r="D262" s="185"/>
      <c r="E262" s="185"/>
      <c r="F262" s="185"/>
      <c r="G262" s="185"/>
      <c r="H262" s="185"/>
      <c r="I262" s="185"/>
      <c r="J262" s="185"/>
      <c r="K262" s="185"/>
      <c r="L262" s="185"/>
      <c r="M262" s="185"/>
      <c r="N262" s="185"/>
      <c r="O262" s="185"/>
      <c r="P262" s="185"/>
      <c r="Q262" s="185"/>
      <c r="R262" s="185"/>
      <c r="S262" s="185"/>
      <c r="T262" s="185"/>
      <c r="U262" s="185"/>
      <c r="V262" s="185"/>
      <c r="W262" s="185"/>
      <c r="X262" s="185"/>
      <c r="Y262" s="181">
        <f t="shared" si="10"/>
        <v>0</v>
      </c>
    </row>
    <row r="263" spans="1:25" x14ac:dyDescent="0.25">
      <c r="A263" s="180">
        <v>43704</v>
      </c>
      <c r="B263" s="185"/>
      <c r="C263" s="185"/>
      <c r="D263" s="185"/>
      <c r="E263" s="185"/>
      <c r="F263" s="185"/>
      <c r="G263" s="185"/>
      <c r="H263" s="185"/>
      <c r="I263" s="185"/>
      <c r="J263" s="185"/>
      <c r="K263" s="185"/>
      <c r="L263" s="185"/>
      <c r="M263" s="185"/>
      <c r="N263" s="185"/>
      <c r="O263" s="185"/>
      <c r="P263" s="185"/>
      <c r="Q263" s="185"/>
      <c r="R263" s="185"/>
      <c r="S263" s="185"/>
      <c r="T263" s="185"/>
      <c r="U263" s="185"/>
      <c r="V263" s="185"/>
      <c r="W263" s="185"/>
      <c r="X263" s="185"/>
      <c r="Y263" s="181">
        <f t="shared" si="10"/>
        <v>0</v>
      </c>
    </row>
    <row r="264" spans="1:25" x14ac:dyDescent="0.25">
      <c r="A264" s="180">
        <v>43705</v>
      </c>
      <c r="B264" s="185"/>
      <c r="C264" s="185"/>
      <c r="D264" s="185"/>
      <c r="E264" s="185"/>
      <c r="F264" s="185"/>
      <c r="G264" s="185"/>
      <c r="H264" s="185"/>
      <c r="I264" s="185"/>
      <c r="J264" s="185"/>
      <c r="K264" s="185"/>
      <c r="L264" s="185"/>
      <c r="M264" s="185"/>
      <c r="N264" s="185"/>
      <c r="O264" s="185"/>
      <c r="P264" s="185"/>
      <c r="Q264" s="185"/>
      <c r="R264" s="185"/>
      <c r="S264" s="185"/>
      <c r="T264" s="185"/>
      <c r="U264" s="185"/>
      <c r="V264" s="185"/>
      <c r="W264" s="185"/>
      <c r="X264" s="185"/>
      <c r="Y264" s="181">
        <f t="shared" si="10"/>
        <v>0</v>
      </c>
    </row>
    <row r="265" spans="1:25" x14ac:dyDescent="0.25">
      <c r="A265" s="180">
        <v>43706</v>
      </c>
      <c r="B265" s="185"/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185"/>
      <c r="N265" s="185"/>
      <c r="O265" s="185"/>
      <c r="P265" s="185"/>
      <c r="Q265" s="185"/>
      <c r="R265" s="185"/>
      <c r="S265" s="185"/>
      <c r="T265" s="185"/>
      <c r="U265" s="185"/>
      <c r="V265" s="185"/>
      <c r="W265" s="185"/>
      <c r="X265" s="185"/>
      <c r="Y265" s="181">
        <f t="shared" si="10"/>
        <v>0</v>
      </c>
    </row>
    <row r="266" spans="1:25" x14ac:dyDescent="0.25">
      <c r="A266" s="180">
        <v>43707</v>
      </c>
      <c r="B266" s="185"/>
      <c r="C266" s="185"/>
      <c r="D266" s="185"/>
      <c r="E266" s="185"/>
      <c r="F266" s="185"/>
      <c r="G266" s="185"/>
      <c r="H266" s="185"/>
      <c r="I266" s="185"/>
      <c r="J266" s="185"/>
      <c r="K266" s="185"/>
      <c r="L266" s="185"/>
      <c r="M266" s="185"/>
      <c r="N266" s="185"/>
      <c r="O266" s="185"/>
      <c r="P266" s="185"/>
      <c r="Q266" s="185"/>
      <c r="R266" s="185"/>
      <c r="S266" s="185"/>
      <c r="T266" s="185"/>
      <c r="U266" s="185"/>
      <c r="V266" s="185"/>
      <c r="W266" s="185"/>
      <c r="X266" s="185"/>
      <c r="Y266" s="181">
        <f t="shared" si="10"/>
        <v>0</v>
      </c>
    </row>
    <row r="267" spans="1:25" x14ac:dyDescent="0.25">
      <c r="A267" s="180">
        <v>43708</v>
      </c>
      <c r="B267" s="185"/>
      <c r="C267" s="185"/>
      <c r="D267" s="185"/>
      <c r="E267" s="185"/>
      <c r="F267" s="185"/>
      <c r="G267" s="185"/>
      <c r="H267" s="185"/>
      <c r="I267" s="185"/>
      <c r="J267" s="185"/>
      <c r="K267" s="185"/>
      <c r="L267" s="185"/>
      <c r="M267" s="185"/>
      <c r="N267" s="185"/>
      <c r="O267" s="185"/>
      <c r="P267" s="185"/>
      <c r="Q267" s="185"/>
      <c r="R267" s="185"/>
      <c r="S267" s="185"/>
      <c r="T267" s="185"/>
      <c r="U267" s="185"/>
      <c r="V267" s="185"/>
      <c r="W267" s="185"/>
      <c r="X267" s="185"/>
      <c r="Y267" s="181">
        <f t="shared" si="10"/>
        <v>0</v>
      </c>
    </row>
    <row r="268" spans="1:25" x14ac:dyDescent="0.25">
      <c r="B268" s="185"/>
      <c r="C268" s="185"/>
      <c r="D268" s="185"/>
      <c r="E268" s="185"/>
      <c r="F268" s="185"/>
      <c r="G268" s="185"/>
      <c r="H268" s="185"/>
      <c r="I268" s="185"/>
      <c r="J268" s="185"/>
      <c r="K268" s="185"/>
      <c r="L268" s="185"/>
      <c r="M268" s="185"/>
      <c r="N268" s="185"/>
      <c r="O268" s="185"/>
      <c r="P268" s="185"/>
      <c r="Q268" s="185"/>
      <c r="R268" s="185"/>
      <c r="S268" s="185"/>
      <c r="T268" s="185"/>
      <c r="U268" s="185"/>
      <c r="V268" s="185"/>
      <c r="W268" s="185"/>
      <c r="X268" s="185"/>
      <c r="Y268" s="181">
        <f t="shared" si="10"/>
        <v>0</v>
      </c>
    </row>
    <row r="269" spans="1:25" x14ac:dyDescent="0.25">
      <c r="B269" s="183">
        <f>SUM(B236:B268)</f>
        <v>0</v>
      </c>
      <c r="C269" s="183">
        <f t="shared" ref="C269:Y269" si="12">SUM(C236:C268)</f>
        <v>0</v>
      </c>
      <c r="D269" s="183">
        <f t="shared" si="12"/>
        <v>0</v>
      </c>
      <c r="E269" s="183">
        <f t="shared" si="12"/>
        <v>0</v>
      </c>
      <c r="F269" s="183">
        <f t="shared" si="12"/>
        <v>0</v>
      </c>
      <c r="G269" s="183">
        <f>SUM(G236:G268)</f>
        <v>0</v>
      </c>
      <c r="H269" s="183">
        <f t="shared" si="12"/>
        <v>0</v>
      </c>
      <c r="I269" s="183">
        <f t="shared" si="12"/>
        <v>0</v>
      </c>
      <c r="J269" s="183">
        <f t="shared" si="12"/>
        <v>0</v>
      </c>
      <c r="K269" s="183">
        <f t="shared" si="12"/>
        <v>0</v>
      </c>
      <c r="L269" s="183">
        <f t="shared" si="12"/>
        <v>0</v>
      </c>
      <c r="M269" s="183">
        <f t="shared" si="12"/>
        <v>0</v>
      </c>
      <c r="N269" s="183">
        <f t="shared" si="12"/>
        <v>0</v>
      </c>
      <c r="O269" s="183">
        <f>SUM(O236:O268)</f>
        <v>0</v>
      </c>
      <c r="P269" s="183">
        <f t="shared" si="12"/>
        <v>0</v>
      </c>
      <c r="Q269" s="183">
        <f t="shared" si="12"/>
        <v>0</v>
      </c>
      <c r="R269" s="183">
        <f t="shared" si="12"/>
        <v>0</v>
      </c>
      <c r="S269" s="183">
        <f>SUM(S236:S268)</f>
        <v>0</v>
      </c>
      <c r="T269" s="183">
        <f>SUM(T236:T268)</f>
        <v>0</v>
      </c>
      <c r="U269" s="183">
        <f>SUM(U236:U268)</f>
        <v>0</v>
      </c>
      <c r="V269" s="183">
        <f>SUM(V236:V268)</f>
        <v>0</v>
      </c>
      <c r="W269" s="183">
        <f>SUM(W236:W268)</f>
        <v>0</v>
      </c>
      <c r="X269" s="183">
        <f t="shared" si="12"/>
        <v>0</v>
      </c>
      <c r="Y269" s="183">
        <f t="shared" si="12"/>
        <v>0</v>
      </c>
    </row>
    <row r="270" spans="1:25" x14ac:dyDescent="0.25">
      <c r="Y270" s="181">
        <f t="shared" si="10"/>
        <v>0</v>
      </c>
    </row>
    <row r="271" spans="1:25" x14ac:dyDescent="0.25">
      <c r="A271" s="180">
        <v>43709</v>
      </c>
      <c r="Y271" s="181">
        <f t="shared" si="10"/>
        <v>0</v>
      </c>
    </row>
    <row r="272" spans="1:25" x14ac:dyDescent="0.25">
      <c r="A272" s="180">
        <v>43710</v>
      </c>
      <c r="B272" s="185"/>
      <c r="C272" s="185"/>
      <c r="D272" s="185"/>
      <c r="E272" s="185"/>
      <c r="F272" s="185"/>
      <c r="G272" s="185"/>
      <c r="H272" s="185"/>
      <c r="I272" s="185"/>
      <c r="J272" s="185"/>
      <c r="K272" s="185"/>
      <c r="L272" s="185"/>
      <c r="M272" s="185"/>
      <c r="N272" s="185"/>
      <c r="O272" s="185"/>
      <c r="P272" s="185"/>
      <c r="Q272" s="185"/>
      <c r="R272" s="185"/>
      <c r="S272" s="185"/>
      <c r="T272" s="185"/>
      <c r="U272" s="185"/>
      <c r="V272" s="185"/>
      <c r="W272" s="185"/>
      <c r="X272" s="185"/>
      <c r="Y272" s="181">
        <f t="shared" si="10"/>
        <v>0</v>
      </c>
    </row>
    <row r="273" spans="1:25" x14ac:dyDescent="0.25">
      <c r="A273" s="180">
        <v>43711</v>
      </c>
      <c r="B273" s="185"/>
      <c r="C273" s="185"/>
      <c r="D273" s="185"/>
      <c r="E273" s="185"/>
      <c r="F273" s="185"/>
      <c r="G273" s="185"/>
      <c r="H273" s="185"/>
      <c r="I273" s="185"/>
      <c r="J273" s="185"/>
      <c r="K273" s="185"/>
      <c r="L273" s="185"/>
      <c r="M273" s="185"/>
      <c r="N273" s="185"/>
      <c r="O273" s="185"/>
      <c r="P273" s="185"/>
      <c r="Q273" s="185"/>
      <c r="R273" s="185"/>
      <c r="S273" s="185"/>
      <c r="T273" s="185"/>
      <c r="U273" s="185"/>
      <c r="V273" s="185"/>
      <c r="W273" s="185"/>
      <c r="X273" s="185"/>
      <c r="Y273" s="181">
        <f t="shared" si="10"/>
        <v>0</v>
      </c>
    </row>
    <row r="274" spans="1:25" x14ac:dyDescent="0.25">
      <c r="A274" s="180">
        <v>43712</v>
      </c>
      <c r="B274" s="185"/>
      <c r="C274" s="185"/>
      <c r="D274" s="185"/>
      <c r="E274" s="185"/>
      <c r="F274" s="185"/>
      <c r="G274" s="185"/>
      <c r="H274" s="185"/>
      <c r="I274" s="185"/>
      <c r="J274" s="185"/>
      <c r="K274" s="185"/>
      <c r="L274" s="185"/>
      <c r="M274" s="185"/>
      <c r="N274" s="185"/>
      <c r="O274" s="185"/>
      <c r="P274" s="185"/>
      <c r="Q274" s="185"/>
      <c r="R274" s="185"/>
      <c r="S274" s="185"/>
      <c r="T274" s="185"/>
      <c r="U274" s="185"/>
      <c r="V274" s="185"/>
      <c r="W274" s="185"/>
      <c r="X274" s="185"/>
      <c r="Y274" s="181">
        <f t="shared" si="10"/>
        <v>0</v>
      </c>
    </row>
    <row r="275" spans="1:25" x14ac:dyDescent="0.25">
      <c r="A275" s="180">
        <v>43713</v>
      </c>
      <c r="B275" s="185"/>
      <c r="C275" s="185"/>
      <c r="D275" s="185"/>
      <c r="E275" s="185"/>
      <c r="F275" s="185"/>
      <c r="G275" s="185"/>
      <c r="H275" s="185"/>
      <c r="I275" s="185"/>
      <c r="J275" s="185"/>
      <c r="K275" s="185"/>
      <c r="L275" s="185"/>
      <c r="M275" s="185"/>
      <c r="N275" s="185"/>
      <c r="O275" s="185"/>
      <c r="P275" s="185"/>
      <c r="Q275" s="185"/>
      <c r="R275" s="185"/>
      <c r="S275" s="185"/>
      <c r="T275" s="185"/>
      <c r="U275" s="185"/>
      <c r="V275" s="185"/>
      <c r="W275" s="185"/>
      <c r="X275" s="185"/>
      <c r="Y275" s="181">
        <f t="shared" si="10"/>
        <v>0</v>
      </c>
    </row>
    <row r="276" spans="1:25" x14ac:dyDescent="0.25">
      <c r="A276" s="180">
        <v>43714</v>
      </c>
      <c r="B276" s="185"/>
      <c r="C276" s="185"/>
      <c r="D276" s="185"/>
      <c r="E276" s="185"/>
      <c r="F276" s="185"/>
      <c r="G276" s="185"/>
      <c r="H276" s="185"/>
      <c r="I276" s="185"/>
      <c r="J276" s="185"/>
      <c r="K276" s="185"/>
      <c r="L276" s="185"/>
      <c r="M276" s="185"/>
      <c r="N276" s="185"/>
      <c r="O276" s="185"/>
      <c r="P276" s="185"/>
      <c r="Q276" s="185"/>
      <c r="R276" s="185"/>
      <c r="S276" s="185"/>
      <c r="T276" s="185"/>
      <c r="U276" s="185"/>
      <c r="V276" s="185"/>
      <c r="W276" s="185"/>
      <c r="X276" s="185"/>
      <c r="Y276" s="181">
        <f t="shared" si="10"/>
        <v>0</v>
      </c>
    </row>
    <row r="277" spans="1:25" x14ac:dyDescent="0.25">
      <c r="A277" s="180">
        <v>43715</v>
      </c>
      <c r="B277" s="185"/>
      <c r="C277" s="185"/>
      <c r="D277" s="185"/>
      <c r="E277" s="185"/>
      <c r="F277" s="185"/>
      <c r="G277" s="185"/>
      <c r="H277" s="185"/>
      <c r="I277" s="185"/>
      <c r="J277" s="185"/>
      <c r="K277" s="185"/>
      <c r="L277" s="185"/>
      <c r="M277" s="185"/>
      <c r="N277" s="185"/>
      <c r="O277" s="185"/>
      <c r="P277" s="185"/>
      <c r="Q277" s="185"/>
      <c r="R277" s="185"/>
      <c r="S277" s="185"/>
      <c r="T277" s="185"/>
      <c r="U277" s="185"/>
      <c r="V277" s="185"/>
      <c r="W277" s="185"/>
      <c r="X277" s="185"/>
      <c r="Y277" s="181">
        <f t="shared" si="10"/>
        <v>0</v>
      </c>
    </row>
    <row r="278" spans="1:25" x14ac:dyDescent="0.25">
      <c r="A278" s="180">
        <v>43716</v>
      </c>
      <c r="B278" s="185"/>
      <c r="C278" s="185"/>
      <c r="D278" s="185"/>
      <c r="E278" s="185"/>
      <c r="F278" s="185"/>
      <c r="G278" s="185"/>
      <c r="H278" s="185"/>
      <c r="I278" s="185"/>
      <c r="J278" s="185"/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1">
        <f t="shared" si="10"/>
        <v>0</v>
      </c>
    </row>
    <row r="279" spans="1:25" x14ac:dyDescent="0.25">
      <c r="A279" s="180">
        <v>43717</v>
      </c>
      <c r="B279" s="185"/>
      <c r="C279" s="185"/>
      <c r="D279" s="185"/>
      <c r="E279" s="185"/>
      <c r="F279" s="185"/>
      <c r="G279" s="185"/>
      <c r="H279" s="185"/>
      <c r="I279" s="185"/>
      <c r="J279" s="185"/>
      <c r="K279" s="185"/>
      <c r="L279" s="185"/>
      <c r="M279" s="185"/>
      <c r="N279" s="185"/>
      <c r="O279" s="185"/>
      <c r="P279" s="185"/>
      <c r="Q279" s="185"/>
      <c r="R279" s="185"/>
      <c r="S279" s="185"/>
      <c r="T279" s="185"/>
      <c r="U279" s="185"/>
      <c r="V279" s="185"/>
      <c r="W279" s="185"/>
      <c r="X279" s="185"/>
      <c r="Y279" s="181">
        <f t="shared" si="10"/>
        <v>0</v>
      </c>
    </row>
    <row r="280" spans="1:25" x14ac:dyDescent="0.25">
      <c r="A280" s="180">
        <v>43718</v>
      </c>
      <c r="B280" s="185"/>
      <c r="C280" s="185"/>
      <c r="D280" s="185"/>
      <c r="E280" s="185"/>
      <c r="F280" s="185"/>
      <c r="G280" s="185"/>
      <c r="H280" s="185"/>
      <c r="I280" s="185"/>
      <c r="J280" s="185"/>
      <c r="K280" s="185"/>
      <c r="L280" s="185"/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5"/>
      <c r="Y280" s="181">
        <f t="shared" si="10"/>
        <v>0</v>
      </c>
    </row>
    <row r="281" spans="1:25" x14ac:dyDescent="0.25">
      <c r="A281" s="180">
        <v>43719</v>
      </c>
      <c r="B281" s="185"/>
      <c r="C281" s="185"/>
      <c r="D281" s="185"/>
      <c r="E281" s="185"/>
      <c r="F281" s="185"/>
      <c r="G281" s="185"/>
      <c r="H281" s="185"/>
      <c r="I281" s="185"/>
      <c r="J281" s="185"/>
      <c r="K281" s="185"/>
      <c r="L281" s="185"/>
      <c r="M281" s="185"/>
      <c r="N281" s="185"/>
      <c r="O281" s="185"/>
      <c r="P281" s="185"/>
      <c r="Q281" s="185"/>
      <c r="R281" s="185"/>
      <c r="S281" s="185"/>
      <c r="T281" s="185"/>
      <c r="U281" s="185"/>
      <c r="V281" s="185"/>
      <c r="W281" s="185"/>
      <c r="X281" s="185"/>
      <c r="Y281" s="181">
        <f t="shared" si="10"/>
        <v>0</v>
      </c>
    </row>
    <row r="282" spans="1:25" x14ac:dyDescent="0.25">
      <c r="A282" s="180">
        <v>43720</v>
      </c>
      <c r="B282" s="185"/>
      <c r="C282" s="185"/>
      <c r="D282" s="185"/>
      <c r="E282" s="185"/>
      <c r="F282" s="185"/>
      <c r="G282" s="185"/>
      <c r="H282" s="185"/>
      <c r="I282" s="185"/>
      <c r="J282" s="185"/>
      <c r="K282" s="185"/>
      <c r="L282" s="185"/>
      <c r="M282" s="185"/>
      <c r="N282" s="185"/>
      <c r="O282" s="185"/>
      <c r="P282" s="185"/>
      <c r="Q282" s="185"/>
      <c r="R282" s="185"/>
      <c r="S282" s="185"/>
      <c r="T282" s="185"/>
      <c r="U282" s="185"/>
      <c r="V282" s="185"/>
      <c r="W282" s="185"/>
      <c r="X282" s="185"/>
      <c r="Y282" s="181">
        <f t="shared" si="10"/>
        <v>0</v>
      </c>
    </row>
    <row r="283" spans="1:25" x14ac:dyDescent="0.25">
      <c r="A283" s="180">
        <v>43721</v>
      </c>
      <c r="B283" s="185"/>
      <c r="C283" s="185"/>
      <c r="D283" s="185"/>
      <c r="E283" s="185"/>
      <c r="F283" s="185"/>
      <c r="G283" s="185"/>
      <c r="H283" s="185"/>
      <c r="I283" s="185"/>
      <c r="J283" s="185"/>
      <c r="K283" s="185"/>
      <c r="L283" s="185"/>
      <c r="M283" s="185"/>
      <c r="N283" s="185"/>
      <c r="O283" s="185"/>
      <c r="P283" s="185"/>
      <c r="Q283" s="185"/>
      <c r="R283" s="185"/>
      <c r="S283" s="185"/>
      <c r="T283" s="185"/>
      <c r="U283" s="185"/>
      <c r="V283" s="185"/>
      <c r="W283" s="185"/>
      <c r="X283" s="185"/>
      <c r="Y283" s="181">
        <f t="shared" si="10"/>
        <v>0</v>
      </c>
    </row>
    <row r="284" spans="1:25" x14ac:dyDescent="0.25">
      <c r="A284" s="180">
        <v>43722</v>
      </c>
      <c r="B284" s="185"/>
      <c r="C284" s="185"/>
      <c r="D284" s="185"/>
      <c r="E284" s="185"/>
      <c r="F284" s="185"/>
      <c r="G284" s="185"/>
      <c r="H284" s="185"/>
      <c r="I284" s="185"/>
      <c r="J284" s="185"/>
      <c r="K284" s="185"/>
      <c r="L284" s="185"/>
      <c r="M284" s="185"/>
      <c r="N284" s="185"/>
      <c r="O284" s="185"/>
      <c r="P284" s="185"/>
      <c r="Q284" s="185"/>
      <c r="R284" s="185"/>
      <c r="S284" s="185"/>
      <c r="T284" s="185"/>
      <c r="U284" s="185"/>
      <c r="V284" s="185"/>
      <c r="W284" s="185"/>
      <c r="X284" s="185"/>
      <c r="Y284" s="181">
        <f t="shared" si="10"/>
        <v>0</v>
      </c>
    </row>
    <row r="285" spans="1:25" x14ac:dyDescent="0.25">
      <c r="A285" s="180">
        <v>43723</v>
      </c>
      <c r="B285" s="185"/>
      <c r="C285" s="185"/>
      <c r="D285" s="185"/>
      <c r="E285" s="185"/>
      <c r="F285" s="185"/>
      <c r="G285" s="185"/>
      <c r="H285" s="185"/>
      <c r="I285" s="185"/>
      <c r="J285" s="185"/>
      <c r="K285" s="185"/>
      <c r="L285" s="185"/>
      <c r="M285" s="185"/>
      <c r="N285" s="185"/>
      <c r="O285" s="185"/>
      <c r="P285" s="185"/>
      <c r="Q285" s="185"/>
      <c r="R285" s="185"/>
      <c r="S285" s="185"/>
      <c r="T285" s="185"/>
      <c r="U285" s="185"/>
      <c r="V285" s="185"/>
      <c r="W285" s="185"/>
      <c r="X285" s="185"/>
      <c r="Y285" s="181">
        <f t="shared" si="10"/>
        <v>0</v>
      </c>
    </row>
    <row r="286" spans="1:25" x14ac:dyDescent="0.25">
      <c r="A286" s="180">
        <v>43724</v>
      </c>
      <c r="B286" s="185"/>
      <c r="C286" s="185"/>
      <c r="D286" s="185"/>
      <c r="E286" s="185"/>
      <c r="F286" s="185"/>
      <c r="G286" s="185"/>
      <c r="H286" s="185"/>
      <c r="I286" s="185"/>
      <c r="J286" s="185"/>
      <c r="K286" s="185"/>
      <c r="L286" s="185"/>
      <c r="M286" s="185"/>
      <c r="N286" s="185"/>
      <c r="O286" s="185"/>
      <c r="P286" s="185"/>
      <c r="Q286" s="185"/>
      <c r="R286" s="185"/>
      <c r="S286" s="185"/>
      <c r="T286" s="185"/>
      <c r="U286" s="185"/>
      <c r="V286" s="185"/>
      <c r="W286" s="185"/>
      <c r="X286" s="185"/>
      <c r="Y286" s="181">
        <f t="shared" si="10"/>
        <v>0</v>
      </c>
    </row>
    <row r="287" spans="1:25" x14ac:dyDescent="0.25">
      <c r="A287" s="180">
        <v>43725</v>
      </c>
      <c r="B287" s="185"/>
      <c r="C287" s="185"/>
      <c r="D287" s="185"/>
      <c r="E287" s="185"/>
      <c r="F287" s="185"/>
      <c r="G287" s="185"/>
      <c r="H287" s="185"/>
      <c r="I287" s="185"/>
      <c r="J287" s="185"/>
      <c r="K287" s="185"/>
      <c r="L287" s="185"/>
      <c r="M287" s="185"/>
      <c r="N287" s="185"/>
      <c r="O287" s="185"/>
      <c r="P287" s="185"/>
      <c r="Q287" s="185"/>
      <c r="R287" s="185"/>
      <c r="S287" s="185"/>
      <c r="T287" s="185"/>
      <c r="U287" s="185"/>
      <c r="V287" s="185"/>
      <c r="W287" s="185"/>
      <c r="X287" s="185"/>
      <c r="Y287" s="181">
        <f t="shared" si="10"/>
        <v>0</v>
      </c>
    </row>
    <row r="288" spans="1:25" x14ac:dyDescent="0.25">
      <c r="A288" s="180">
        <v>43726</v>
      </c>
      <c r="B288" s="185"/>
      <c r="C288" s="185"/>
      <c r="D288" s="185"/>
      <c r="E288" s="185"/>
      <c r="F288" s="185"/>
      <c r="G288" s="185"/>
      <c r="H288" s="185"/>
      <c r="I288" s="185"/>
      <c r="J288" s="185"/>
      <c r="K288" s="185"/>
      <c r="L288" s="185"/>
      <c r="M288" s="185"/>
      <c r="N288" s="185"/>
      <c r="O288" s="185"/>
      <c r="P288" s="185"/>
      <c r="Q288" s="185"/>
      <c r="R288" s="185"/>
      <c r="S288" s="185"/>
      <c r="T288" s="185"/>
      <c r="U288" s="185"/>
      <c r="V288" s="185"/>
      <c r="W288" s="185"/>
      <c r="X288" s="185"/>
      <c r="Y288" s="181">
        <f t="shared" si="10"/>
        <v>0</v>
      </c>
    </row>
    <row r="289" spans="1:25" x14ac:dyDescent="0.25">
      <c r="A289" s="180">
        <v>43727</v>
      </c>
      <c r="B289" s="185"/>
      <c r="C289" s="185"/>
      <c r="D289" s="185"/>
      <c r="E289" s="185"/>
      <c r="F289" s="185"/>
      <c r="G289" s="185"/>
      <c r="H289" s="185"/>
      <c r="I289" s="185"/>
      <c r="J289" s="185"/>
      <c r="K289" s="185"/>
      <c r="L289" s="185"/>
      <c r="M289" s="185"/>
      <c r="N289" s="185"/>
      <c r="O289" s="185"/>
      <c r="P289" s="185"/>
      <c r="Q289" s="185"/>
      <c r="R289" s="185"/>
      <c r="S289" s="185"/>
      <c r="T289" s="185"/>
      <c r="U289" s="185"/>
      <c r="V289" s="185"/>
      <c r="W289" s="185"/>
      <c r="X289" s="185"/>
      <c r="Y289" s="181">
        <f t="shared" si="10"/>
        <v>0</v>
      </c>
    </row>
    <row r="290" spans="1:25" x14ac:dyDescent="0.25">
      <c r="A290" s="180">
        <v>43728</v>
      </c>
      <c r="B290" s="185"/>
      <c r="C290" s="185"/>
      <c r="D290" s="185"/>
      <c r="E290" s="185"/>
      <c r="F290" s="185"/>
      <c r="G290" s="185"/>
      <c r="H290" s="185"/>
      <c r="I290" s="185"/>
      <c r="J290" s="185"/>
      <c r="K290" s="185"/>
      <c r="L290" s="185"/>
      <c r="M290" s="185"/>
      <c r="N290" s="185"/>
      <c r="O290" s="185"/>
      <c r="P290" s="185"/>
      <c r="Q290" s="185"/>
      <c r="R290" s="185"/>
      <c r="S290" s="185"/>
      <c r="T290" s="185"/>
      <c r="U290" s="185"/>
      <c r="V290" s="185"/>
      <c r="W290" s="185"/>
      <c r="X290" s="185"/>
      <c r="Y290" s="181">
        <f t="shared" si="10"/>
        <v>0</v>
      </c>
    </row>
    <row r="291" spans="1:25" x14ac:dyDescent="0.25">
      <c r="A291" s="180">
        <v>43729</v>
      </c>
      <c r="B291" s="185"/>
      <c r="C291" s="185"/>
      <c r="D291" s="185"/>
      <c r="E291" s="185"/>
      <c r="F291" s="185"/>
      <c r="G291" s="185"/>
      <c r="H291" s="185"/>
      <c r="I291" s="185"/>
      <c r="J291" s="185"/>
      <c r="K291" s="185"/>
      <c r="L291" s="185"/>
      <c r="M291" s="185"/>
      <c r="N291" s="185"/>
      <c r="O291" s="185"/>
      <c r="P291" s="185"/>
      <c r="Q291" s="185"/>
      <c r="R291" s="185"/>
      <c r="S291" s="185"/>
      <c r="T291" s="185"/>
      <c r="U291" s="185"/>
      <c r="V291" s="185"/>
      <c r="W291" s="185"/>
      <c r="X291" s="185"/>
      <c r="Y291" s="181">
        <f t="shared" si="10"/>
        <v>0</v>
      </c>
    </row>
    <row r="292" spans="1:25" x14ac:dyDescent="0.25">
      <c r="A292" s="180">
        <v>43730</v>
      </c>
      <c r="B292" s="185"/>
      <c r="C292" s="185"/>
      <c r="D292" s="185"/>
      <c r="E292" s="185"/>
      <c r="F292" s="185"/>
      <c r="G292" s="185"/>
      <c r="H292" s="185"/>
      <c r="I292" s="185"/>
      <c r="J292" s="185"/>
      <c r="K292" s="185"/>
      <c r="L292" s="185"/>
      <c r="M292" s="185"/>
      <c r="N292" s="185"/>
      <c r="O292" s="185"/>
      <c r="P292" s="185"/>
      <c r="Q292" s="185"/>
      <c r="R292" s="185"/>
      <c r="S292" s="185"/>
      <c r="T292" s="185"/>
      <c r="U292" s="185"/>
      <c r="V292" s="185"/>
      <c r="W292" s="185"/>
      <c r="X292" s="185"/>
      <c r="Y292" s="181">
        <f t="shared" si="10"/>
        <v>0</v>
      </c>
    </row>
    <row r="293" spans="1:25" x14ac:dyDescent="0.25">
      <c r="A293" s="180">
        <v>43731</v>
      </c>
      <c r="B293" s="185"/>
      <c r="C293" s="185"/>
      <c r="D293" s="185"/>
      <c r="E293" s="185"/>
      <c r="F293" s="185"/>
      <c r="G293" s="185"/>
      <c r="H293" s="185"/>
      <c r="I293" s="185"/>
      <c r="J293" s="185"/>
      <c r="K293" s="185"/>
      <c r="L293" s="185"/>
      <c r="M293" s="185"/>
      <c r="N293" s="185"/>
      <c r="O293" s="185"/>
      <c r="P293" s="185"/>
      <c r="Q293" s="185"/>
      <c r="R293" s="185"/>
      <c r="S293" s="185"/>
      <c r="T293" s="185"/>
      <c r="U293" s="185"/>
      <c r="V293" s="185"/>
      <c r="W293" s="185"/>
      <c r="X293" s="185"/>
      <c r="Y293" s="181">
        <f t="shared" si="10"/>
        <v>0</v>
      </c>
    </row>
    <row r="294" spans="1:25" x14ac:dyDescent="0.25">
      <c r="A294" s="180">
        <v>43732</v>
      </c>
      <c r="B294" s="185"/>
      <c r="C294" s="185"/>
      <c r="D294" s="185"/>
      <c r="E294" s="185"/>
      <c r="F294" s="185"/>
      <c r="G294" s="185"/>
      <c r="H294" s="185"/>
      <c r="I294" s="185"/>
      <c r="J294" s="185"/>
      <c r="K294" s="185"/>
      <c r="L294" s="185"/>
      <c r="M294" s="185"/>
      <c r="N294" s="185"/>
      <c r="O294" s="185"/>
      <c r="P294" s="185"/>
      <c r="Q294" s="185"/>
      <c r="R294" s="185"/>
      <c r="S294" s="185"/>
      <c r="T294" s="185"/>
      <c r="U294" s="185"/>
      <c r="V294" s="185"/>
      <c r="W294" s="185"/>
      <c r="X294" s="185"/>
      <c r="Y294" s="181">
        <f t="shared" ref="Y294:Y335" si="13">SUM(B294:X294)</f>
        <v>0</v>
      </c>
    </row>
    <row r="295" spans="1:25" x14ac:dyDescent="0.25">
      <c r="A295" s="180">
        <v>43733</v>
      </c>
      <c r="B295" s="185"/>
      <c r="C295" s="185"/>
      <c r="D295" s="185"/>
      <c r="E295" s="185"/>
      <c r="F295" s="185"/>
      <c r="G295" s="185"/>
      <c r="H295" s="185"/>
      <c r="I295" s="185"/>
      <c r="J295" s="185"/>
      <c r="K295" s="185"/>
      <c r="L295" s="185"/>
      <c r="M295" s="185"/>
      <c r="N295" s="185"/>
      <c r="O295" s="185"/>
      <c r="P295" s="185"/>
      <c r="Q295" s="185"/>
      <c r="R295" s="185"/>
      <c r="S295" s="185"/>
      <c r="T295" s="185"/>
      <c r="U295" s="185"/>
      <c r="V295" s="185"/>
      <c r="W295" s="185"/>
      <c r="X295" s="185"/>
      <c r="Y295" s="181">
        <f t="shared" si="13"/>
        <v>0</v>
      </c>
    </row>
    <row r="296" spans="1:25" x14ac:dyDescent="0.25">
      <c r="A296" s="180">
        <v>43734</v>
      </c>
      <c r="B296" s="185"/>
      <c r="C296" s="185"/>
      <c r="D296" s="185"/>
      <c r="E296" s="185"/>
      <c r="F296" s="185"/>
      <c r="G296" s="185"/>
      <c r="H296" s="185"/>
      <c r="I296" s="185"/>
      <c r="J296" s="185"/>
      <c r="K296" s="185"/>
      <c r="L296" s="185"/>
      <c r="M296" s="185"/>
      <c r="N296" s="185"/>
      <c r="O296" s="185"/>
      <c r="P296" s="185"/>
      <c r="Q296" s="185"/>
      <c r="R296" s="185"/>
      <c r="S296" s="185"/>
      <c r="T296" s="185"/>
      <c r="U296" s="185"/>
      <c r="V296" s="185"/>
      <c r="W296" s="185"/>
      <c r="X296" s="185"/>
      <c r="Y296" s="181">
        <f t="shared" si="13"/>
        <v>0</v>
      </c>
    </row>
    <row r="297" spans="1:25" x14ac:dyDescent="0.25">
      <c r="A297" s="180">
        <v>43735</v>
      </c>
      <c r="B297" s="185"/>
      <c r="C297" s="185"/>
      <c r="D297" s="185"/>
      <c r="E297" s="185"/>
      <c r="F297" s="185"/>
      <c r="G297" s="185"/>
      <c r="H297" s="185"/>
      <c r="I297" s="185"/>
      <c r="J297" s="185"/>
      <c r="K297" s="185"/>
      <c r="L297" s="185"/>
      <c r="M297" s="185"/>
      <c r="N297" s="185"/>
      <c r="O297" s="185"/>
      <c r="P297" s="185"/>
      <c r="Q297" s="185"/>
      <c r="R297" s="185"/>
      <c r="S297" s="185"/>
      <c r="T297" s="185"/>
      <c r="U297" s="185"/>
      <c r="V297" s="185"/>
      <c r="W297" s="185"/>
      <c r="X297" s="185"/>
      <c r="Y297" s="181">
        <f t="shared" si="13"/>
        <v>0</v>
      </c>
    </row>
    <row r="298" spans="1:25" x14ac:dyDescent="0.25">
      <c r="A298" s="180">
        <v>43736</v>
      </c>
      <c r="B298" s="185"/>
      <c r="C298" s="185"/>
      <c r="D298" s="185"/>
      <c r="E298" s="185"/>
      <c r="F298" s="185"/>
      <c r="G298" s="185"/>
      <c r="H298" s="185"/>
      <c r="I298" s="185"/>
      <c r="J298" s="185"/>
      <c r="K298" s="185"/>
      <c r="L298" s="185"/>
      <c r="M298" s="185"/>
      <c r="N298" s="185"/>
      <c r="O298" s="185"/>
      <c r="P298" s="185"/>
      <c r="Q298" s="185"/>
      <c r="R298" s="185"/>
      <c r="S298" s="185"/>
      <c r="T298" s="185"/>
      <c r="U298" s="185"/>
      <c r="V298" s="185"/>
      <c r="W298" s="185"/>
      <c r="X298" s="185"/>
      <c r="Y298" s="181">
        <f t="shared" si="13"/>
        <v>0</v>
      </c>
    </row>
    <row r="299" spans="1:25" x14ac:dyDescent="0.25">
      <c r="A299" s="180">
        <v>43737</v>
      </c>
      <c r="B299" s="185"/>
      <c r="C299" s="185"/>
      <c r="D299" s="185"/>
      <c r="E299" s="185"/>
      <c r="F299" s="185"/>
      <c r="G299" s="185"/>
      <c r="H299" s="185"/>
      <c r="I299" s="185"/>
      <c r="J299" s="185"/>
      <c r="K299" s="185"/>
      <c r="L299" s="185"/>
      <c r="M299" s="185"/>
      <c r="N299" s="185"/>
      <c r="O299" s="185"/>
      <c r="P299" s="185"/>
      <c r="Q299" s="185"/>
      <c r="R299" s="185"/>
      <c r="S299" s="185"/>
      <c r="T299" s="185"/>
      <c r="U299" s="185"/>
      <c r="V299" s="185"/>
      <c r="W299" s="185"/>
      <c r="X299" s="185"/>
      <c r="Y299" s="181">
        <f t="shared" si="13"/>
        <v>0</v>
      </c>
    </row>
    <row r="300" spans="1:25" x14ac:dyDescent="0.25">
      <c r="A300" s="180">
        <v>43738</v>
      </c>
      <c r="B300" s="185"/>
      <c r="C300" s="185"/>
      <c r="D300" s="185"/>
      <c r="E300" s="185"/>
      <c r="F300" s="185"/>
      <c r="G300" s="185"/>
      <c r="H300" s="185"/>
      <c r="I300" s="185"/>
      <c r="J300" s="185"/>
      <c r="K300" s="185"/>
      <c r="L300" s="185"/>
      <c r="M300" s="185"/>
      <c r="N300" s="185"/>
      <c r="O300" s="185"/>
      <c r="P300" s="185"/>
      <c r="Q300" s="185"/>
      <c r="R300" s="185"/>
      <c r="S300" s="185"/>
      <c r="T300" s="185"/>
      <c r="U300" s="185"/>
      <c r="V300" s="185"/>
      <c r="W300" s="185"/>
      <c r="X300" s="185"/>
      <c r="Y300" s="181">
        <f t="shared" si="13"/>
        <v>0</v>
      </c>
    </row>
    <row r="301" spans="1:25" x14ac:dyDescent="0.25">
      <c r="B301" s="185"/>
      <c r="C301" s="185"/>
      <c r="D301" s="185"/>
      <c r="E301" s="185"/>
      <c r="F301" s="185"/>
      <c r="G301" s="185"/>
      <c r="H301" s="185"/>
      <c r="I301" s="185"/>
      <c r="J301" s="185"/>
      <c r="K301" s="185"/>
      <c r="L301" s="185"/>
      <c r="M301" s="185"/>
      <c r="N301" s="185"/>
      <c r="O301" s="185"/>
      <c r="P301" s="185"/>
      <c r="Q301" s="185"/>
      <c r="R301" s="185"/>
      <c r="S301" s="185"/>
      <c r="T301" s="185"/>
      <c r="U301" s="185"/>
      <c r="V301" s="185"/>
      <c r="W301" s="185"/>
      <c r="X301" s="185"/>
      <c r="Y301" s="181">
        <f t="shared" si="13"/>
        <v>0</v>
      </c>
    </row>
    <row r="302" spans="1:25" x14ac:dyDescent="0.25">
      <c r="B302" s="183">
        <f>SUM(B270:B301)</f>
        <v>0</v>
      </c>
      <c r="C302" s="183">
        <f t="shared" ref="C302:Y302" si="14">SUM(C270:C301)</f>
        <v>0</v>
      </c>
      <c r="D302" s="183">
        <f t="shared" si="14"/>
        <v>0</v>
      </c>
      <c r="E302" s="183">
        <f t="shared" si="14"/>
        <v>0</v>
      </c>
      <c r="F302" s="183">
        <f t="shared" si="14"/>
        <v>0</v>
      </c>
      <c r="G302" s="183">
        <f>SUM(G270:G301)</f>
        <v>0</v>
      </c>
      <c r="H302" s="183">
        <f t="shared" si="14"/>
        <v>0</v>
      </c>
      <c r="I302" s="183">
        <f t="shared" si="14"/>
        <v>0</v>
      </c>
      <c r="J302" s="183">
        <f t="shared" si="14"/>
        <v>0</v>
      </c>
      <c r="K302" s="183">
        <f t="shared" si="14"/>
        <v>0</v>
      </c>
      <c r="L302" s="183">
        <f t="shared" si="14"/>
        <v>0</v>
      </c>
      <c r="M302" s="183">
        <f t="shared" si="14"/>
        <v>0</v>
      </c>
      <c r="N302" s="183">
        <f t="shared" si="14"/>
        <v>0</v>
      </c>
      <c r="O302" s="183">
        <f>SUM(O270:O301)</f>
        <v>0</v>
      </c>
      <c r="P302" s="183">
        <f t="shared" si="14"/>
        <v>0</v>
      </c>
      <c r="Q302" s="183">
        <f t="shared" si="14"/>
        <v>0</v>
      </c>
      <c r="R302" s="183">
        <f t="shared" si="14"/>
        <v>0</v>
      </c>
      <c r="S302" s="183">
        <f>SUM(S270:S301)</f>
        <v>0</v>
      </c>
      <c r="T302" s="183">
        <f>SUM(T270:T301)</f>
        <v>0</v>
      </c>
      <c r="U302" s="183">
        <f>SUM(U270:U301)</f>
        <v>0</v>
      </c>
      <c r="V302" s="183">
        <f>SUM(V270:V301)</f>
        <v>0</v>
      </c>
      <c r="W302" s="183">
        <f>SUM(W270:W301)</f>
        <v>0</v>
      </c>
      <c r="X302" s="183">
        <f t="shared" si="14"/>
        <v>0</v>
      </c>
      <c r="Y302" s="183">
        <f t="shared" si="14"/>
        <v>0</v>
      </c>
    </row>
    <row r="303" spans="1:25" x14ac:dyDescent="0.25">
      <c r="Y303" s="181">
        <f t="shared" si="13"/>
        <v>0</v>
      </c>
    </row>
    <row r="304" spans="1:25" x14ac:dyDescent="0.25">
      <c r="A304" s="180">
        <v>43739</v>
      </c>
      <c r="B304" s="185"/>
      <c r="C304" s="185"/>
      <c r="D304" s="185"/>
      <c r="E304" s="185"/>
      <c r="F304" s="185"/>
      <c r="G304" s="185"/>
      <c r="H304" s="185"/>
      <c r="I304" s="185"/>
      <c r="J304" s="185"/>
      <c r="K304" s="185"/>
      <c r="L304" s="185"/>
      <c r="M304" s="185"/>
      <c r="N304" s="185"/>
      <c r="O304" s="185"/>
      <c r="P304" s="185"/>
      <c r="Q304" s="185"/>
      <c r="R304" s="185"/>
      <c r="S304" s="185"/>
      <c r="T304" s="185"/>
      <c r="U304" s="185"/>
      <c r="V304" s="185"/>
      <c r="W304" s="185"/>
      <c r="X304" s="185"/>
      <c r="Y304" s="181">
        <f t="shared" si="13"/>
        <v>0</v>
      </c>
    </row>
    <row r="305" spans="1:25" x14ac:dyDescent="0.25">
      <c r="A305" s="180">
        <v>43740</v>
      </c>
      <c r="B305" s="185"/>
      <c r="C305" s="185"/>
      <c r="D305" s="185"/>
      <c r="E305" s="185"/>
      <c r="F305" s="185"/>
      <c r="G305" s="185"/>
      <c r="H305" s="185"/>
      <c r="I305" s="185"/>
      <c r="J305" s="185"/>
      <c r="K305" s="185"/>
      <c r="L305" s="185"/>
      <c r="M305" s="185"/>
      <c r="N305" s="185"/>
      <c r="O305" s="185"/>
      <c r="P305" s="185"/>
      <c r="Q305" s="185"/>
      <c r="R305" s="185"/>
      <c r="S305" s="185"/>
      <c r="T305" s="185"/>
      <c r="U305" s="185"/>
      <c r="V305" s="185"/>
      <c r="W305" s="185"/>
      <c r="X305" s="185"/>
      <c r="Y305" s="181">
        <f t="shared" si="13"/>
        <v>0</v>
      </c>
    </row>
    <row r="306" spans="1:25" x14ac:dyDescent="0.25">
      <c r="A306" s="180">
        <v>43741</v>
      </c>
      <c r="B306" s="185"/>
      <c r="C306" s="185"/>
      <c r="D306" s="185"/>
      <c r="E306" s="185"/>
      <c r="F306" s="185"/>
      <c r="G306" s="185"/>
      <c r="H306" s="185"/>
      <c r="I306" s="185"/>
      <c r="J306" s="185"/>
      <c r="K306" s="185"/>
      <c r="L306" s="185"/>
      <c r="M306" s="185"/>
      <c r="N306" s="185"/>
      <c r="O306" s="185"/>
      <c r="P306" s="185"/>
      <c r="Q306" s="185"/>
      <c r="R306" s="185"/>
      <c r="S306" s="185"/>
      <c r="T306" s="185"/>
      <c r="U306" s="185"/>
      <c r="V306" s="185"/>
      <c r="W306" s="185"/>
      <c r="X306" s="185"/>
      <c r="Y306" s="181">
        <f t="shared" si="13"/>
        <v>0</v>
      </c>
    </row>
    <row r="307" spans="1:25" x14ac:dyDescent="0.25">
      <c r="A307" s="180">
        <v>43742</v>
      </c>
      <c r="B307" s="185"/>
      <c r="C307" s="185"/>
      <c r="D307" s="185"/>
      <c r="E307" s="185"/>
      <c r="F307" s="185"/>
      <c r="G307" s="185"/>
      <c r="H307" s="185"/>
      <c r="I307" s="185"/>
      <c r="J307" s="185"/>
      <c r="K307" s="185"/>
      <c r="L307" s="185"/>
      <c r="M307" s="185"/>
      <c r="N307" s="185"/>
      <c r="O307" s="185"/>
      <c r="P307" s="185"/>
      <c r="Q307" s="185"/>
      <c r="R307" s="185"/>
      <c r="S307" s="185"/>
      <c r="T307" s="185"/>
      <c r="U307" s="185"/>
      <c r="V307" s="185"/>
      <c r="W307" s="185"/>
      <c r="X307" s="185"/>
      <c r="Y307" s="181">
        <f t="shared" si="13"/>
        <v>0</v>
      </c>
    </row>
    <row r="308" spans="1:25" x14ac:dyDescent="0.25">
      <c r="A308" s="180">
        <v>43743</v>
      </c>
      <c r="B308" s="185"/>
      <c r="C308" s="185"/>
      <c r="D308" s="185"/>
      <c r="E308" s="185"/>
      <c r="F308" s="185"/>
      <c r="G308" s="185"/>
      <c r="H308" s="185"/>
      <c r="I308" s="185"/>
      <c r="J308" s="185"/>
      <c r="K308" s="185"/>
      <c r="L308" s="185"/>
      <c r="M308" s="185"/>
      <c r="N308" s="185"/>
      <c r="O308" s="185"/>
      <c r="P308" s="185"/>
      <c r="Q308" s="185"/>
      <c r="R308" s="185"/>
      <c r="S308" s="185"/>
      <c r="T308" s="185"/>
      <c r="U308" s="185"/>
      <c r="V308" s="185"/>
      <c r="W308" s="185"/>
      <c r="X308" s="185"/>
      <c r="Y308" s="181">
        <f t="shared" si="13"/>
        <v>0</v>
      </c>
    </row>
    <row r="309" spans="1:25" x14ac:dyDescent="0.25">
      <c r="A309" s="180">
        <v>43744</v>
      </c>
      <c r="B309" s="185"/>
      <c r="C309" s="185"/>
      <c r="D309" s="185"/>
      <c r="E309" s="185"/>
      <c r="F309" s="185"/>
      <c r="G309" s="185"/>
      <c r="H309" s="185"/>
      <c r="I309" s="185"/>
      <c r="J309" s="185"/>
      <c r="K309" s="185"/>
      <c r="L309" s="185"/>
      <c r="M309" s="185"/>
      <c r="N309" s="185"/>
      <c r="O309" s="185"/>
      <c r="P309" s="185"/>
      <c r="Q309" s="185"/>
      <c r="R309" s="185"/>
      <c r="S309" s="185"/>
      <c r="T309" s="185"/>
      <c r="U309" s="185"/>
      <c r="V309" s="185"/>
      <c r="W309" s="185"/>
      <c r="X309" s="185"/>
      <c r="Y309" s="181">
        <f t="shared" si="13"/>
        <v>0</v>
      </c>
    </row>
    <row r="310" spans="1:25" x14ac:dyDescent="0.25">
      <c r="A310" s="180">
        <v>43745</v>
      </c>
      <c r="B310" s="185"/>
      <c r="C310" s="185"/>
      <c r="D310" s="185"/>
      <c r="E310" s="185"/>
      <c r="F310" s="185"/>
      <c r="G310" s="185"/>
      <c r="H310" s="185"/>
      <c r="I310" s="185"/>
      <c r="J310" s="185"/>
      <c r="K310" s="185"/>
      <c r="L310" s="185"/>
      <c r="M310" s="185"/>
      <c r="N310" s="185"/>
      <c r="O310" s="185"/>
      <c r="P310" s="185"/>
      <c r="Q310" s="185"/>
      <c r="R310" s="185"/>
      <c r="S310" s="185"/>
      <c r="T310" s="185"/>
      <c r="U310" s="185"/>
      <c r="V310" s="185"/>
      <c r="W310" s="185"/>
      <c r="X310" s="185"/>
      <c r="Y310" s="181">
        <f t="shared" si="13"/>
        <v>0</v>
      </c>
    </row>
    <row r="311" spans="1:25" x14ac:dyDescent="0.25">
      <c r="A311" s="180">
        <v>43746</v>
      </c>
      <c r="B311" s="185"/>
      <c r="C311" s="185"/>
      <c r="D311" s="185"/>
      <c r="E311" s="185"/>
      <c r="F311" s="185"/>
      <c r="G311" s="185"/>
      <c r="H311" s="185"/>
      <c r="I311" s="185"/>
      <c r="J311" s="185"/>
      <c r="K311" s="185"/>
      <c r="L311" s="185"/>
      <c r="M311" s="185"/>
      <c r="N311" s="185"/>
      <c r="O311" s="185"/>
      <c r="P311" s="185"/>
      <c r="Q311" s="185"/>
      <c r="R311" s="185"/>
      <c r="S311" s="185"/>
      <c r="T311" s="185"/>
      <c r="U311" s="185"/>
      <c r="V311" s="185"/>
      <c r="W311" s="185"/>
      <c r="X311" s="185"/>
      <c r="Y311" s="181">
        <f t="shared" si="13"/>
        <v>0</v>
      </c>
    </row>
    <row r="312" spans="1:25" x14ac:dyDescent="0.25">
      <c r="A312" s="180">
        <v>43747</v>
      </c>
      <c r="B312" s="185"/>
      <c r="C312" s="185"/>
      <c r="D312" s="185"/>
      <c r="E312" s="185"/>
      <c r="F312" s="185"/>
      <c r="G312" s="185"/>
      <c r="H312" s="185"/>
      <c r="I312" s="185"/>
      <c r="J312" s="185"/>
      <c r="K312" s="185"/>
      <c r="L312" s="185"/>
      <c r="M312" s="185"/>
      <c r="N312" s="185"/>
      <c r="O312" s="185"/>
      <c r="P312" s="185"/>
      <c r="Q312" s="185"/>
      <c r="R312" s="185"/>
      <c r="S312" s="185"/>
      <c r="T312" s="185"/>
      <c r="U312" s="185"/>
      <c r="V312" s="185"/>
      <c r="W312" s="185"/>
      <c r="X312" s="185"/>
      <c r="Y312" s="181">
        <f t="shared" si="13"/>
        <v>0</v>
      </c>
    </row>
    <row r="313" spans="1:25" x14ac:dyDescent="0.25">
      <c r="A313" s="180">
        <v>43748</v>
      </c>
      <c r="B313" s="185"/>
      <c r="C313" s="185"/>
      <c r="D313" s="185"/>
      <c r="E313" s="185"/>
      <c r="F313" s="185"/>
      <c r="G313" s="185"/>
      <c r="H313" s="185"/>
      <c r="I313" s="185"/>
      <c r="J313" s="185"/>
      <c r="K313" s="185"/>
      <c r="L313" s="185"/>
      <c r="M313" s="185"/>
      <c r="N313" s="185"/>
      <c r="O313" s="185"/>
      <c r="P313" s="185"/>
      <c r="Q313" s="185"/>
      <c r="R313" s="185"/>
      <c r="S313" s="185"/>
      <c r="T313" s="185"/>
      <c r="U313" s="185"/>
      <c r="V313" s="185"/>
      <c r="W313" s="185"/>
      <c r="X313" s="185"/>
      <c r="Y313" s="181">
        <f t="shared" si="13"/>
        <v>0</v>
      </c>
    </row>
    <row r="314" spans="1:25" x14ac:dyDescent="0.25">
      <c r="A314" s="180">
        <v>43749</v>
      </c>
      <c r="B314" s="185"/>
      <c r="C314" s="185"/>
      <c r="D314" s="185"/>
      <c r="E314" s="185"/>
      <c r="F314" s="185"/>
      <c r="G314" s="185"/>
      <c r="H314" s="185"/>
      <c r="I314" s="185"/>
      <c r="J314" s="185"/>
      <c r="K314" s="185"/>
      <c r="L314" s="185"/>
      <c r="M314" s="185"/>
      <c r="N314" s="185"/>
      <c r="O314" s="185"/>
      <c r="P314" s="185"/>
      <c r="Q314" s="185"/>
      <c r="R314" s="185"/>
      <c r="S314" s="185"/>
      <c r="T314" s="185"/>
      <c r="U314" s="185"/>
      <c r="V314" s="185"/>
      <c r="W314" s="185"/>
      <c r="X314" s="185"/>
      <c r="Y314" s="181">
        <f t="shared" si="13"/>
        <v>0</v>
      </c>
    </row>
    <row r="315" spans="1:25" x14ac:dyDescent="0.25">
      <c r="A315" s="180">
        <v>43750</v>
      </c>
      <c r="B315" s="185"/>
      <c r="C315" s="185"/>
      <c r="D315" s="185"/>
      <c r="E315" s="185"/>
      <c r="F315" s="185"/>
      <c r="G315" s="185"/>
      <c r="H315" s="185"/>
      <c r="I315" s="185"/>
      <c r="J315" s="185"/>
      <c r="K315" s="185"/>
      <c r="L315" s="185"/>
      <c r="M315" s="185"/>
      <c r="N315" s="185"/>
      <c r="O315" s="185"/>
      <c r="P315" s="185"/>
      <c r="Q315" s="185"/>
      <c r="R315" s="185"/>
      <c r="S315" s="185"/>
      <c r="T315" s="185"/>
      <c r="U315" s="185"/>
      <c r="V315" s="185"/>
      <c r="W315" s="185"/>
      <c r="X315" s="185"/>
      <c r="Y315" s="181">
        <f t="shared" si="13"/>
        <v>0</v>
      </c>
    </row>
    <row r="316" spans="1:25" x14ac:dyDescent="0.25">
      <c r="A316" s="180">
        <v>43751</v>
      </c>
      <c r="B316" s="185"/>
      <c r="C316" s="185"/>
      <c r="D316" s="185"/>
      <c r="E316" s="185"/>
      <c r="F316" s="185"/>
      <c r="G316" s="185"/>
      <c r="H316" s="185"/>
      <c r="I316" s="185"/>
      <c r="J316" s="185"/>
      <c r="K316" s="185"/>
      <c r="L316" s="185"/>
      <c r="M316" s="185"/>
      <c r="N316" s="185"/>
      <c r="O316" s="185"/>
      <c r="P316" s="185"/>
      <c r="Q316" s="185"/>
      <c r="R316" s="185"/>
      <c r="S316" s="185"/>
      <c r="T316" s="185"/>
      <c r="U316" s="185"/>
      <c r="V316" s="185"/>
      <c r="W316" s="185"/>
      <c r="X316" s="185"/>
      <c r="Y316" s="181">
        <f t="shared" si="13"/>
        <v>0</v>
      </c>
    </row>
    <row r="317" spans="1:25" x14ac:dyDescent="0.25">
      <c r="A317" s="180">
        <v>43752</v>
      </c>
      <c r="B317" s="185"/>
      <c r="C317" s="185"/>
      <c r="D317" s="185"/>
      <c r="E317" s="185"/>
      <c r="F317" s="185"/>
      <c r="G317" s="185"/>
      <c r="H317" s="185"/>
      <c r="I317" s="185"/>
      <c r="J317" s="185"/>
      <c r="K317" s="185"/>
      <c r="L317" s="185"/>
      <c r="M317" s="185"/>
      <c r="N317" s="185"/>
      <c r="O317" s="185"/>
      <c r="P317" s="185"/>
      <c r="Q317" s="185"/>
      <c r="R317" s="185"/>
      <c r="S317" s="185"/>
      <c r="T317" s="185"/>
      <c r="U317" s="185"/>
      <c r="V317" s="185"/>
      <c r="W317" s="185"/>
      <c r="X317" s="185"/>
      <c r="Y317" s="181">
        <f t="shared" si="13"/>
        <v>0</v>
      </c>
    </row>
    <row r="318" spans="1:25" x14ac:dyDescent="0.25">
      <c r="A318" s="180">
        <v>43753</v>
      </c>
      <c r="B318" s="185"/>
      <c r="C318" s="185"/>
      <c r="D318" s="185"/>
      <c r="E318" s="185"/>
      <c r="F318" s="185"/>
      <c r="G318" s="185"/>
      <c r="H318" s="185"/>
      <c r="I318" s="185"/>
      <c r="J318" s="185"/>
      <c r="K318" s="185"/>
      <c r="L318" s="185"/>
      <c r="M318" s="185"/>
      <c r="N318" s="185"/>
      <c r="O318" s="185"/>
      <c r="P318" s="185"/>
      <c r="Q318" s="185"/>
      <c r="R318" s="185"/>
      <c r="S318" s="185"/>
      <c r="T318" s="185"/>
      <c r="U318" s="185"/>
      <c r="V318" s="185"/>
      <c r="W318" s="185"/>
      <c r="X318" s="185"/>
      <c r="Y318" s="181">
        <f t="shared" si="13"/>
        <v>0</v>
      </c>
    </row>
    <row r="319" spans="1:25" x14ac:dyDescent="0.25">
      <c r="A319" s="180">
        <v>43754</v>
      </c>
      <c r="B319" s="185"/>
      <c r="C319" s="185"/>
      <c r="D319" s="185"/>
      <c r="E319" s="185"/>
      <c r="F319" s="185"/>
      <c r="G319" s="185"/>
      <c r="H319" s="185"/>
      <c r="I319" s="185"/>
      <c r="J319" s="185"/>
      <c r="K319" s="185"/>
      <c r="L319" s="185"/>
      <c r="M319" s="185"/>
      <c r="N319" s="185"/>
      <c r="O319" s="185"/>
      <c r="P319" s="185"/>
      <c r="Q319" s="185"/>
      <c r="R319" s="185"/>
      <c r="S319" s="185"/>
      <c r="T319" s="185"/>
      <c r="U319" s="185"/>
      <c r="V319" s="185"/>
      <c r="W319" s="185"/>
      <c r="X319" s="185"/>
      <c r="Y319" s="181">
        <f t="shared" si="13"/>
        <v>0</v>
      </c>
    </row>
    <row r="320" spans="1:25" x14ac:dyDescent="0.25">
      <c r="A320" s="180">
        <v>43755</v>
      </c>
      <c r="B320" s="185"/>
      <c r="C320" s="185"/>
      <c r="D320" s="185"/>
      <c r="E320" s="185"/>
      <c r="F320" s="185"/>
      <c r="G320" s="185"/>
      <c r="H320" s="185"/>
      <c r="I320" s="185"/>
      <c r="J320" s="185"/>
      <c r="K320" s="185"/>
      <c r="L320" s="185"/>
      <c r="M320" s="185"/>
      <c r="N320" s="185"/>
      <c r="O320" s="185"/>
      <c r="P320" s="185"/>
      <c r="Q320" s="185"/>
      <c r="R320" s="185"/>
      <c r="S320" s="185"/>
      <c r="T320" s="185"/>
      <c r="U320" s="185"/>
      <c r="V320" s="185"/>
      <c r="W320" s="185"/>
      <c r="X320" s="185"/>
      <c r="Y320" s="181">
        <f t="shared" si="13"/>
        <v>0</v>
      </c>
    </row>
    <row r="321" spans="1:25" x14ac:dyDescent="0.25">
      <c r="A321" s="180">
        <v>43756</v>
      </c>
      <c r="B321" s="185"/>
      <c r="C321" s="185"/>
      <c r="D321" s="185"/>
      <c r="E321" s="185"/>
      <c r="F321" s="185"/>
      <c r="G321" s="185"/>
      <c r="H321" s="185"/>
      <c r="I321" s="185"/>
      <c r="J321" s="185"/>
      <c r="K321" s="185"/>
      <c r="L321" s="185"/>
      <c r="M321" s="185"/>
      <c r="N321" s="185"/>
      <c r="O321" s="185"/>
      <c r="P321" s="185"/>
      <c r="Q321" s="185"/>
      <c r="R321" s="185"/>
      <c r="S321" s="185"/>
      <c r="T321" s="185"/>
      <c r="U321" s="185"/>
      <c r="V321" s="185"/>
      <c r="W321" s="185"/>
      <c r="X321" s="185"/>
      <c r="Y321" s="181">
        <f t="shared" si="13"/>
        <v>0</v>
      </c>
    </row>
    <row r="322" spans="1:25" x14ac:dyDescent="0.25">
      <c r="A322" s="180">
        <v>43757</v>
      </c>
      <c r="B322" s="185"/>
      <c r="C322" s="185"/>
      <c r="D322" s="185"/>
      <c r="E322" s="185"/>
      <c r="F322" s="185"/>
      <c r="G322" s="185"/>
      <c r="H322" s="185"/>
      <c r="I322" s="185"/>
      <c r="J322" s="185"/>
      <c r="K322" s="185"/>
      <c r="L322" s="185"/>
      <c r="M322" s="185"/>
      <c r="N322" s="185"/>
      <c r="O322" s="185"/>
      <c r="P322" s="185"/>
      <c r="Q322" s="185"/>
      <c r="R322" s="185"/>
      <c r="S322" s="185"/>
      <c r="T322" s="185"/>
      <c r="U322" s="185"/>
      <c r="V322" s="185"/>
      <c r="W322" s="185"/>
      <c r="X322" s="185"/>
      <c r="Y322" s="181">
        <f t="shared" si="13"/>
        <v>0</v>
      </c>
    </row>
    <row r="323" spans="1:25" x14ac:dyDescent="0.25">
      <c r="A323" s="180">
        <v>43758</v>
      </c>
      <c r="B323" s="185"/>
      <c r="C323" s="185"/>
      <c r="D323" s="185"/>
      <c r="E323" s="185"/>
      <c r="F323" s="185"/>
      <c r="G323" s="185"/>
      <c r="H323" s="185"/>
      <c r="I323" s="185"/>
      <c r="J323" s="185"/>
      <c r="K323" s="185"/>
      <c r="L323" s="185"/>
      <c r="M323" s="185"/>
      <c r="N323" s="185"/>
      <c r="O323" s="185"/>
      <c r="P323" s="185"/>
      <c r="Q323" s="185"/>
      <c r="R323" s="185"/>
      <c r="S323" s="185"/>
      <c r="T323" s="185"/>
      <c r="U323" s="185"/>
      <c r="V323" s="185"/>
      <c r="W323" s="185"/>
      <c r="X323" s="185"/>
      <c r="Y323" s="181">
        <f t="shared" si="13"/>
        <v>0</v>
      </c>
    </row>
    <row r="324" spans="1:25" x14ac:dyDescent="0.25">
      <c r="A324" s="180">
        <v>43759</v>
      </c>
      <c r="B324" s="185"/>
      <c r="C324" s="185"/>
      <c r="D324" s="185"/>
      <c r="E324" s="185"/>
      <c r="F324" s="185"/>
      <c r="G324" s="185"/>
      <c r="H324" s="185"/>
      <c r="I324" s="185"/>
      <c r="J324" s="185"/>
      <c r="K324" s="185"/>
      <c r="L324" s="185"/>
      <c r="M324" s="185"/>
      <c r="N324" s="185"/>
      <c r="O324" s="185"/>
      <c r="P324" s="185"/>
      <c r="Q324" s="185"/>
      <c r="R324" s="185"/>
      <c r="S324" s="185"/>
      <c r="T324" s="185"/>
      <c r="U324" s="185"/>
      <c r="V324" s="185"/>
      <c r="W324" s="185"/>
      <c r="X324" s="185"/>
      <c r="Y324" s="181">
        <f t="shared" si="13"/>
        <v>0</v>
      </c>
    </row>
    <row r="325" spans="1:25" x14ac:dyDescent="0.25">
      <c r="A325" s="180">
        <v>43760</v>
      </c>
      <c r="B325" s="185"/>
      <c r="C325" s="185"/>
      <c r="D325" s="185"/>
      <c r="E325" s="185"/>
      <c r="F325" s="185"/>
      <c r="G325" s="185"/>
      <c r="H325" s="185"/>
      <c r="I325" s="185"/>
      <c r="J325" s="185"/>
      <c r="K325" s="185"/>
      <c r="L325" s="185"/>
      <c r="M325" s="185"/>
      <c r="N325" s="185"/>
      <c r="O325" s="185"/>
      <c r="P325" s="185"/>
      <c r="Q325" s="185"/>
      <c r="R325" s="185"/>
      <c r="S325" s="185"/>
      <c r="T325" s="185"/>
      <c r="U325" s="185"/>
      <c r="V325" s="185"/>
      <c r="W325" s="185"/>
      <c r="X325" s="185"/>
      <c r="Y325" s="181">
        <f t="shared" si="13"/>
        <v>0</v>
      </c>
    </row>
    <row r="326" spans="1:25" x14ac:dyDescent="0.25">
      <c r="A326" s="180">
        <v>43761</v>
      </c>
      <c r="B326" s="185"/>
      <c r="C326" s="185"/>
      <c r="D326" s="185"/>
      <c r="E326" s="185"/>
      <c r="F326" s="185"/>
      <c r="G326" s="185"/>
      <c r="H326" s="185"/>
      <c r="I326" s="185"/>
      <c r="J326" s="185"/>
      <c r="K326" s="185"/>
      <c r="L326" s="185"/>
      <c r="M326" s="185"/>
      <c r="N326" s="185"/>
      <c r="O326" s="185"/>
      <c r="P326" s="185"/>
      <c r="Q326" s="185"/>
      <c r="R326" s="185"/>
      <c r="S326" s="185"/>
      <c r="T326" s="185"/>
      <c r="U326" s="185"/>
      <c r="V326" s="185"/>
      <c r="W326" s="185"/>
      <c r="X326" s="185"/>
      <c r="Y326" s="181">
        <f t="shared" si="13"/>
        <v>0</v>
      </c>
    </row>
    <row r="327" spans="1:25" x14ac:dyDescent="0.25">
      <c r="A327" s="180">
        <v>43762</v>
      </c>
      <c r="B327" s="185"/>
      <c r="C327" s="185"/>
      <c r="D327" s="185"/>
      <c r="E327" s="185"/>
      <c r="F327" s="185"/>
      <c r="G327" s="185"/>
      <c r="H327" s="185"/>
      <c r="I327" s="185"/>
      <c r="J327" s="185"/>
      <c r="K327" s="185"/>
      <c r="L327" s="185"/>
      <c r="M327" s="185"/>
      <c r="N327" s="185"/>
      <c r="O327" s="185"/>
      <c r="P327" s="185"/>
      <c r="Q327" s="185"/>
      <c r="R327" s="185"/>
      <c r="S327" s="185"/>
      <c r="T327" s="185"/>
      <c r="U327" s="185"/>
      <c r="V327" s="185"/>
      <c r="W327" s="185"/>
      <c r="X327" s="185"/>
      <c r="Y327" s="181">
        <f t="shared" si="13"/>
        <v>0</v>
      </c>
    </row>
    <row r="328" spans="1:25" x14ac:dyDescent="0.25">
      <c r="A328" s="180">
        <v>43763</v>
      </c>
      <c r="B328" s="185"/>
      <c r="C328" s="185"/>
      <c r="D328" s="185"/>
      <c r="E328" s="185"/>
      <c r="F328" s="185"/>
      <c r="G328" s="185"/>
      <c r="H328" s="185"/>
      <c r="I328" s="185"/>
      <c r="J328" s="185"/>
      <c r="K328" s="185"/>
      <c r="L328" s="185"/>
      <c r="M328" s="185"/>
      <c r="N328" s="185"/>
      <c r="O328" s="185"/>
      <c r="P328" s="185"/>
      <c r="Q328" s="185"/>
      <c r="R328" s="185"/>
      <c r="S328" s="185"/>
      <c r="T328" s="185"/>
      <c r="U328" s="185"/>
      <c r="V328" s="185"/>
      <c r="W328" s="185"/>
      <c r="X328" s="185"/>
      <c r="Y328" s="181">
        <f t="shared" si="13"/>
        <v>0</v>
      </c>
    </row>
    <row r="329" spans="1:25" x14ac:dyDescent="0.25">
      <c r="A329" s="180">
        <v>43764</v>
      </c>
      <c r="B329" s="185"/>
      <c r="C329" s="185"/>
      <c r="D329" s="185"/>
      <c r="E329" s="185"/>
      <c r="F329" s="185"/>
      <c r="G329" s="185"/>
      <c r="H329" s="185"/>
      <c r="I329" s="185"/>
      <c r="J329" s="185"/>
      <c r="K329" s="185"/>
      <c r="L329" s="185"/>
      <c r="M329" s="185"/>
      <c r="N329" s="185"/>
      <c r="O329" s="185"/>
      <c r="P329" s="185"/>
      <c r="Q329" s="185"/>
      <c r="R329" s="185"/>
      <c r="S329" s="185"/>
      <c r="T329" s="185"/>
      <c r="U329" s="185"/>
      <c r="V329" s="185"/>
      <c r="W329" s="185"/>
      <c r="X329" s="185"/>
      <c r="Y329" s="181">
        <f t="shared" si="13"/>
        <v>0</v>
      </c>
    </row>
    <row r="330" spans="1:25" x14ac:dyDescent="0.25">
      <c r="A330" s="180">
        <v>43765</v>
      </c>
      <c r="B330" s="185"/>
      <c r="C330" s="185"/>
      <c r="D330" s="185"/>
      <c r="E330" s="185"/>
      <c r="F330" s="185"/>
      <c r="G330" s="185"/>
      <c r="H330" s="185"/>
      <c r="I330" s="185"/>
      <c r="J330" s="185"/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1">
        <f t="shared" si="13"/>
        <v>0</v>
      </c>
    </row>
    <row r="331" spans="1:25" x14ac:dyDescent="0.25">
      <c r="A331" s="180">
        <v>43766</v>
      </c>
      <c r="B331" s="185"/>
      <c r="C331" s="185"/>
      <c r="D331" s="185"/>
      <c r="E331" s="185"/>
      <c r="F331" s="185"/>
      <c r="G331" s="185"/>
      <c r="H331" s="185"/>
      <c r="I331" s="185"/>
      <c r="J331" s="185"/>
      <c r="K331" s="185"/>
      <c r="L331" s="185"/>
      <c r="M331" s="185"/>
      <c r="N331" s="185"/>
      <c r="O331" s="185"/>
      <c r="P331" s="185"/>
      <c r="Q331" s="185"/>
      <c r="R331" s="185"/>
      <c r="S331" s="185"/>
      <c r="T331" s="185"/>
      <c r="U331" s="185"/>
      <c r="V331" s="185"/>
      <c r="W331" s="185"/>
      <c r="X331" s="185"/>
      <c r="Y331" s="181">
        <f t="shared" si="13"/>
        <v>0</v>
      </c>
    </row>
    <row r="332" spans="1:25" x14ac:dyDescent="0.25">
      <c r="A332" s="180">
        <v>43767</v>
      </c>
      <c r="B332" s="185"/>
      <c r="C332" s="185"/>
      <c r="D332" s="185"/>
      <c r="E332" s="185"/>
      <c r="F332" s="185"/>
      <c r="G332" s="185"/>
      <c r="H332" s="185"/>
      <c r="I332" s="185"/>
      <c r="J332" s="185"/>
      <c r="K332" s="185"/>
      <c r="L332" s="185"/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5"/>
      <c r="Y332" s="181">
        <f t="shared" si="13"/>
        <v>0</v>
      </c>
    </row>
    <row r="333" spans="1:25" x14ac:dyDescent="0.25">
      <c r="A333" s="180">
        <v>43768</v>
      </c>
      <c r="B333" s="185"/>
      <c r="C333" s="185"/>
      <c r="D333" s="185"/>
      <c r="E333" s="185"/>
      <c r="F333" s="185"/>
      <c r="G333" s="185"/>
      <c r="H333" s="185"/>
      <c r="I333" s="185"/>
      <c r="J333" s="185"/>
      <c r="K333" s="185"/>
      <c r="L333" s="185"/>
      <c r="M333" s="185"/>
      <c r="N333" s="185"/>
      <c r="O333" s="185"/>
      <c r="P333" s="185"/>
      <c r="Q333" s="185"/>
      <c r="R333" s="185"/>
      <c r="S333" s="185"/>
      <c r="T333" s="185"/>
      <c r="U333" s="185"/>
      <c r="V333" s="185"/>
      <c r="W333" s="185"/>
      <c r="X333" s="185"/>
      <c r="Y333" s="181">
        <f t="shared" si="13"/>
        <v>0</v>
      </c>
    </row>
    <row r="334" spans="1:25" x14ac:dyDescent="0.25">
      <c r="A334" s="180">
        <v>43769</v>
      </c>
      <c r="B334" s="185"/>
      <c r="C334" s="185"/>
      <c r="D334" s="185"/>
      <c r="E334" s="185"/>
      <c r="F334" s="185"/>
      <c r="G334" s="185"/>
      <c r="H334" s="185"/>
      <c r="I334" s="185"/>
      <c r="J334" s="185"/>
      <c r="K334" s="185"/>
      <c r="L334" s="185"/>
      <c r="M334" s="185"/>
      <c r="N334" s="185"/>
      <c r="O334" s="185"/>
      <c r="P334" s="185"/>
      <c r="Q334" s="185"/>
      <c r="R334" s="185"/>
      <c r="S334" s="185"/>
      <c r="T334" s="185"/>
      <c r="U334" s="185"/>
      <c r="V334" s="185"/>
      <c r="W334" s="185"/>
      <c r="X334" s="185"/>
      <c r="Y334" s="181">
        <f t="shared" si="13"/>
        <v>0</v>
      </c>
    </row>
    <row r="335" spans="1:25" x14ac:dyDescent="0.25">
      <c r="B335" s="185"/>
      <c r="C335" s="185"/>
      <c r="D335" s="185"/>
      <c r="E335" s="185"/>
      <c r="F335" s="185"/>
      <c r="G335" s="185"/>
      <c r="H335" s="185"/>
      <c r="I335" s="185"/>
      <c r="J335" s="185"/>
      <c r="K335" s="185"/>
      <c r="L335" s="185"/>
      <c r="M335" s="185"/>
      <c r="N335" s="185"/>
      <c r="O335" s="185"/>
      <c r="P335" s="185"/>
      <c r="Q335" s="185"/>
      <c r="R335" s="185"/>
      <c r="S335" s="185"/>
      <c r="T335" s="185"/>
      <c r="U335" s="185"/>
      <c r="V335" s="185"/>
      <c r="W335" s="185"/>
      <c r="X335" s="185"/>
      <c r="Y335" s="181">
        <f t="shared" si="13"/>
        <v>0</v>
      </c>
    </row>
    <row r="336" spans="1:25" x14ac:dyDescent="0.25">
      <c r="B336" s="183">
        <f>SUM(B303:B335)</f>
        <v>0</v>
      </c>
      <c r="C336" s="183">
        <f t="shared" ref="C336:Y336" si="15">SUM(C303:C335)</f>
        <v>0</v>
      </c>
      <c r="D336" s="183">
        <f t="shared" si="15"/>
        <v>0</v>
      </c>
      <c r="E336" s="183">
        <f t="shared" si="15"/>
        <v>0</v>
      </c>
      <c r="F336" s="183">
        <f t="shared" si="15"/>
        <v>0</v>
      </c>
      <c r="G336" s="183">
        <f>SUM(G303:G335)</f>
        <v>0</v>
      </c>
      <c r="H336" s="183">
        <f t="shared" si="15"/>
        <v>0</v>
      </c>
      <c r="I336" s="183">
        <f t="shared" si="15"/>
        <v>0</v>
      </c>
      <c r="J336" s="183">
        <f t="shared" si="15"/>
        <v>0</v>
      </c>
      <c r="K336" s="183">
        <f t="shared" si="15"/>
        <v>0</v>
      </c>
      <c r="L336" s="183">
        <f t="shared" si="15"/>
        <v>0</v>
      </c>
      <c r="M336" s="183">
        <f t="shared" si="15"/>
        <v>0</v>
      </c>
      <c r="N336" s="183">
        <f t="shared" si="15"/>
        <v>0</v>
      </c>
      <c r="O336" s="183">
        <f>SUM(O303:O335)</f>
        <v>0</v>
      </c>
      <c r="P336" s="183">
        <f t="shared" si="15"/>
        <v>0</v>
      </c>
      <c r="Q336" s="183">
        <f t="shared" si="15"/>
        <v>0</v>
      </c>
      <c r="R336" s="183">
        <f t="shared" si="15"/>
        <v>0</v>
      </c>
      <c r="S336" s="183">
        <f>SUM(S303:S335)</f>
        <v>0</v>
      </c>
      <c r="T336" s="183">
        <f>SUM(T303:T335)</f>
        <v>0</v>
      </c>
      <c r="U336" s="183">
        <f>SUM(U303:U335)</f>
        <v>0</v>
      </c>
      <c r="V336" s="183">
        <f>SUM(V303:V335)</f>
        <v>0</v>
      </c>
      <c r="W336" s="183">
        <f>SUM(W303:W335)</f>
        <v>0</v>
      </c>
      <c r="X336" s="183">
        <f t="shared" si="15"/>
        <v>0</v>
      </c>
      <c r="Y336" s="183">
        <f t="shared" si="15"/>
        <v>0</v>
      </c>
    </row>
    <row r="337" spans="1:25" x14ac:dyDescent="0.25">
      <c r="B337" s="183"/>
      <c r="C337" s="183"/>
      <c r="D337" s="183"/>
      <c r="E337" s="183"/>
      <c r="F337" s="183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3"/>
      <c r="V337" s="183"/>
      <c r="W337" s="183"/>
      <c r="Y337" s="181">
        <f t="shared" ref="Y337:Y358" si="16">SUM(B337:X337)</f>
        <v>0</v>
      </c>
    </row>
    <row r="338" spans="1:25" x14ac:dyDescent="0.25">
      <c r="A338" s="180">
        <v>43770</v>
      </c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Y338" s="181">
        <f t="shared" si="16"/>
        <v>0</v>
      </c>
    </row>
    <row r="339" spans="1:25" x14ac:dyDescent="0.25">
      <c r="A339" s="180">
        <v>43771</v>
      </c>
      <c r="Y339" s="181">
        <f t="shared" si="16"/>
        <v>0</v>
      </c>
    </row>
    <row r="340" spans="1:25" x14ac:dyDescent="0.25">
      <c r="A340" s="180">
        <v>43772</v>
      </c>
      <c r="Y340" s="181">
        <f t="shared" si="16"/>
        <v>0</v>
      </c>
    </row>
    <row r="341" spans="1:25" x14ac:dyDescent="0.25">
      <c r="A341" s="180">
        <v>43773</v>
      </c>
      <c r="B341" s="185"/>
      <c r="C341" s="185"/>
      <c r="D341" s="185"/>
      <c r="E341" s="185"/>
      <c r="F341" s="185"/>
      <c r="G341" s="185"/>
      <c r="H341" s="185"/>
      <c r="I341" s="185"/>
      <c r="J341" s="185"/>
      <c r="K341" s="185"/>
      <c r="L341" s="185"/>
      <c r="M341" s="185"/>
      <c r="N341" s="185"/>
      <c r="O341" s="185"/>
      <c r="P341" s="185"/>
      <c r="Q341" s="185"/>
      <c r="R341" s="185"/>
      <c r="S341" s="185"/>
      <c r="T341" s="185"/>
      <c r="U341" s="185"/>
      <c r="V341" s="185"/>
      <c r="W341" s="185"/>
      <c r="X341" s="185"/>
      <c r="Y341" s="181">
        <f t="shared" si="16"/>
        <v>0</v>
      </c>
    </row>
    <row r="342" spans="1:25" x14ac:dyDescent="0.25">
      <c r="A342" s="180">
        <v>43774</v>
      </c>
      <c r="B342" s="185"/>
      <c r="C342" s="185"/>
      <c r="D342" s="185"/>
      <c r="E342" s="185"/>
      <c r="F342" s="185"/>
      <c r="G342" s="185"/>
      <c r="H342" s="185"/>
      <c r="I342" s="185"/>
      <c r="J342" s="185"/>
      <c r="K342" s="185"/>
      <c r="L342" s="185"/>
      <c r="M342" s="185"/>
      <c r="N342" s="185"/>
      <c r="O342" s="185"/>
      <c r="P342" s="185"/>
      <c r="Q342" s="185"/>
      <c r="R342" s="185"/>
      <c r="S342" s="185"/>
      <c r="T342" s="185"/>
      <c r="U342" s="185"/>
      <c r="V342" s="185"/>
      <c r="W342" s="185"/>
      <c r="X342" s="185"/>
      <c r="Y342" s="181">
        <f t="shared" si="16"/>
        <v>0</v>
      </c>
    </row>
    <row r="343" spans="1:25" x14ac:dyDescent="0.25">
      <c r="A343" s="180">
        <v>43775</v>
      </c>
      <c r="B343" s="185"/>
      <c r="C343" s="185"/>
      <c r="D343" s="185"/>
      <c r="E343" s="185"/>
      <c r="F343" s="185"/>
      <c r="G343" s="185"/>
      <c r="H343" s="185"/>
      <c r="I343" s="185"/>
      <c r="J343" s="185"/>
      <c r="K343" s="185"/>
      <c r="L343" s="185"/>
      <c r="M343" s="185"/>
      <c r="N343" s="185"/>
      <c r="O343" s="185"/>
      <c r="P343" s="185"/>
      <c r="Q343" s="185"/>
      <c r="R343" s="185"/>
      <c r="S343" s="185"/>
      <c r="T343" s="185"/>
      <c r="U343" s="185"/>
      <c r="V343" s="185"/>
      <c r="W343" s="185"/>
      <c r="X343" s="185"/>
      <c r="Y343" s="181">
        <f t="shared" si="16"/>
        <v>0</v>
      </c>
    </row>
    <row r="344" spans="1:25" x14ac:dyDescent="0.25">
      <c r="A344" s="180">
        <v>43776</v>
      </c>
      <c r="B344" s="185"/>
      <c r="C344" s="185"/>
      <c r="D344" s="185"/>
      <c r="E344" s="185"/>
      <c r="F344" s="185"/>
      <c r="G344" s="185"/>
      <c r="H344" s="185"/>
      <c r="I344" s="185"/>
      <c r="J344" s="185"/>
      <c r="K344" s="185"/>
      <c r="L344" s="185"/>
      <c r="M344" s="185"/>
      <c r="N344" s="185"/>
      <c r="O344" s="185"/>
      <c r="P344" s="185"/>
      <c r="Q344" s="185"/>
      <c r="R344" s="185"/>
      <c r="S344" s="185"/>
      <c r="T344" s="185"/>
      <c r="U344" s="185"/>
      <c r="V344" s="185"/>
      <c r="W344" s="185"/>
      <c r="X344" s="185"/>
      <c r="Y344" s="181">
        <f t="shared" si="16"/>
        <v>0</v>
      </c>
    </row>
    <row r="345" spans="1:25" x14ac:dyDescent="0.25">
      <c r="A345" s="180">
        <v>43777</v>
      </c>
      <c r="B345" s="185"/>
      <c r="C345" s="185"/>
      <c r="D345" s="185"/>
      <c r="E345" s="185"/>
      <c r="F345" s="185"/>
      <c r="G345" s="185"/>
      <c r="H345" s="185"/>
      <c r="I345" s="185"/>
      <c r="J345" s="185"/>
      <c r="K345" s="185"/>
      <c r="L345" s="185"/>
      <c r="M345" s="185"/>
      <c r="N345" s="185"/>
      <c r="O345" s="185"/>
      <c r="P345" s="185"/>
      <c r="Q345" s="185"/>
      <c r="R345" s="185"/>
      <c r="S345" s="185"/>
      <c r="T345" s="185"/>
      <c r="U345" s="185"/>
      <c r="V345" s="185"/>
      <c r="W345" s="185"/>
      <c r="X345" s="185"/>
      <c r="Y345" s="181">
        <f t="shared" si="16"/>
        <v>0</v>
      </c>
    </row>
    <row r="346" spans="1:25" x14ac:dyDescent="0.25">
      <c r="A346" s="180">
        <v>43778</v>
      </c>
      <c r="B346" s="185"/>
      <c r="C346" s="185"/>
      <c r="D346" s="185"/>
      <c r="E346" s="185"/>
      <c r="F346" s="185"/>
      <c r="G346" s="185"/>
      <c r="H346" s="185"/>
      <c r="I346" s="185"/>
      <c r="J346" s="185"/>
      <c r="K346" s="185"/>
      <c r="L346" s="185"/>
      <c r="M346" s="185"/>
      <c r="N346" s="185"/>
      <c r="O346" s="185"/>
      <c r="P346" s="185"/>
      <c r="Q346" s="185"/>
      <c r="R346" s="185"/>
      <c r="S346" s="185"/>
      <c r="T346" s="185"/>
      <c r="U346" s="185"/>
      <c r="V346" s="185"/>
      <c r="W346" s="185"/>
      <c r="X346" s="185"/>
      <c r="Y346" s="181">
        <f t="shared" si="16"/>
        <v>0</v>
      </c>
    </row>
    <row r="347" spans="1:25" x14ac:dyDescent="0.25">
      <c r="A347" s="180">
        <v>43779</v>
      </c>
      <c r="B347" s="185"/>
      <c r="C347" s="185"/>
      <c r="D347" s="185"/>
      <c r="E347" s="185"/>
      <c r="F347" s="185"/>
      <c r="G347" s="185"/>
      <c r="H347" s="185"/>
      <c r="I347" s="185"/>
      <c r="J347" s="185"/>
      <c r="K347" s="185"/>
      <c r="L347" s="185"/>
      <c r="M347" s="185"/>
      <c r="N347" s="185"/>
      <c r="O347" s="185"/>
      <c r="P347" s="185"/>
      <c r="Q347" s="185"/>
      <c r="R347" s="185"/>
      <c r="S347" s="185"/>
      <c r="T347" s="185"/>
      <c r="U347" s="185"/>
      <c r="V347" s="185"/>
      <c r="W347" s="185"/>
      <c r="X347" s="185"/>
      <c r="Y347" s="181">
        <f t="shared" si="16"/>
        <v>0</v>
      </c>
    </row>
    <row r="348" spans="1:25" x14ac:dyDescent="0.25">
      <c r="A348" s="180">
        <v>43780</v>
      </c>
      <c r="B348" s="185"/>
      <c r="C348" s="185"/>
      <c r="D348" s="185"/>
      <c r="E348" s="185"/>
      <c r="F348" s="185"/>
      <c r="G348" s="185"/>
      <c r="H348" s="185"/>
      <c r="I348" s="185"/>
      <c r="J348" s="185"/>
      <c r="K348" s="185"/>
      <c r="L348" s="185"/>
      <c r="M348" s="185"/>
      <c r="N348" s="185"/>
      <c r="O348" s="185"/>
      <c r="P348" s="185"/>
      <c r="Q348" s="185"/>
      <c r="R348" s="185"/>
      <c r="S348" s="185"/>
      <c r="T348" s="185"/>
      <c r="U348" s="185"/>
      <c r="V348" s="185"/>
      <c r="W348" s="185"/>
      <c r="X348" s="185"/>
      <c r="Y348" s="181">
        <f t="shared" si="16"/>
        <v>0</v>
      </c>
    </row>
    <row r="349" spans="1:25" x14ac:dyDescent="0.25">
      <c r="A349" s="180">
        <v>43781</v>
      </c>
      <c r="B349" s="185"/>
      <c r="C349" s="185"/>
      <c r="D349" s="185"/>
      <c r="E349" s="185"/>
      <c r="F349" s="185"/>
      <c r="G349" s="185"/>
      <c r="H349" s="185"/>
      <c r="I349" s="185"/>
      <c r="J349" s="185"/>
      <c r="K349" s="185"/>
      <c r="L349" s="185"/>
      <c r="M349" s="185"/>
      <c r="N349" s="185"/>
      <c r="O349" s="185"/>
      <c r="P349" s="185"/>
      <c r="Q349" s="185"/>
      <c r="R349" s="185"/>
      <c r="S349" s="185"/>
      <c r="T349" s="185"/>
      <c r="U349" s="185"/>
      <c r="V349" s="185"/>
      <c r="W349" s="185"/>
      <c r="X349" s="185"/>
      <c r="Y349" s="181">
        <f t="shared" si="16"/>
        <v>0</v>
      </c>
    </row>
    <row r="350" spans="1:25" ht="15.6" customHeight="1" x14ac:dyDescent="0.25">
      <c r="A350" s="180">
        <v>43782</v>
      </c>
      <c r="B350" s="185"/>
      <c r="C350" s="185"/>
      <c r="D350" s="185"/>
      <c r="E350" s="185"/>
      <c r="F350" s="185"/>
      <c r="G350" s="185"/>
      <c r="H350" s="185"/>
      <c r="I350" s="185"/>
      <c r="J350" s="185"/>
      <c r="K350" s="185"/>
      <c r="L350" s="185"/>
      <c r="M350" s="185"/>
      <c r="N350" s="185"/>
      <c r="O350" s="185"/>
      <c r="P350" s="185"/>
      <c r="Q350" s="185"/>
      <c r="R350" s="185"/>
      <c r="S350" s="185"/>
      <c r="T350" s="185"/>
      <c r="U350" s="185"/>
      <c r="V350" s="185"/>
      <c r="W350" s="185"/>
      <c r="X350" s="185"/>
      <c r="Y350" s="181">
        <f t="shared" si="16"/>
        <v>0</v>
      </c>
    </row>
    <row r="351" spans="1:25" x14ac:dyDescent="0.25">
      <c r="A351" s="180">
        <v>43783</v>
      </c>
      <c r="B351" s="185"/>
      <c r="C351" s="185"/>
      <c r="D351" s="185"/>
      <c r="E351" s="185"/>
      <c r="F351" s="185"/>
      <c r="G351" s="185"/>
      <c r="H351" s="185"/>
      <c r="I351" s="185"/>
      <c r="J351" s="185"/>
      <c r="K351" s="185"/>
      <c r="L351" s="185"/>
      <c r="M351" s="185"/>
      <c r="N351" s="185"/>
      <c r="O351" s="185"/>
      <c r="P351" s="185"/>
      <c r="Q351" s="185"/>
      <c r="R351" s="185"/>
      <c r="S351" s="185"/>
      <c r="T351" s="185"/>
      <c r="U351" s="185"/>
      <c r="V351" s="185"/>
      <c r="W351" s="185"/>
      <c r="X351" s="185"/>
      <c r="Y351" s="181">
        <f t="shared" si="16"/>
        <v>0</v>
      </c>
    </row>
    <row r="352" spans="1:25" x14ac:dyDescent="0.25">
      <c r="A352" s="180">
        <v>43784</v>
      </c>
      <c r="B352" s="185"/>
      <c r="C352" s="185"/>
      <c r="D352" s="185"/>
      <c r="E352" s="185"/>
      <c r="F352" s="185"/>
      <c r="G352" s="185"/>
      <c r="H352" s="185"/>
      <c r="I352" s="185"/>
      <c r="J352" s="185"/>
      <c r="K352" s="185"/>
      <c r="L352" s="185"/>
      <c r="M352" s="185"/>
      <c r="N352" s="185"/>
      <c r="O352" s="185"/>
      <c r="P352" s="185"/>
      <c r="Q352" s="185"/>
      <c r="R352" s="185"/>
      <c r="S352" s="185"/>
      <c r="T352" s="185"/>
      <c r="U352" s="185"/>
      <c r="V352" s="185"/>
      <c r="W352" s="185"/>
      <c r="X352" s="185"/>
      <c r="Y352" s="181">
        <f t="shared" si="16"/>
        <v>0</v>
      </c>
    </row>
    <row r="353" spans="1:28" x14ac:dyDescent="0.25">
      <c r="A353" s="180">
        <v>43785</v>
      </c>
      <c r="B353" s="185"/>
      <c r="C353" s="185"/>
      <c r="D353" s="185"/>
      <c r="E353" s="185"/>
      <c r="F353" s="185"/>
      <c r="G353" s="185"/>
      <c r="H353" s="185"/>
      <c r="I353" s="185"/>
      <c r="J353" s="185"/>
      <c r="K353" s="185"/>
      <c r="L353" s="185"/>
      <c r="M353" s="185"/>
      <c r="N353" s="185"/>
      <c r="O353" s="185"/>
      <c r="P353" s="185"/>
      <c r="Q353" s="185"/>
      <c r="R353" s="185"/>
      <c r="S353" s="185"/>
      <c r="T353" s="185"/>
      <c r="U353" s="185"/>
      <c r="V353" s="185"/>
      <c r="W353" s="185"/>
      <c r="X353" s="185"/>
      <c r="Y353" s="181">
        <f t="shared" si="16"/>
        <v>0</v>
      </c>
    </row>
    <row r="354" spans="1:28" x14ac:dyDescent="0.25">
      <c r="A354" s="180">
        <v>43786</v>
      </c>
      <c r="B354" s="185"/>
      <c r="C354" s="185"/>
      <c r="D354" s="185"/>
      <c r="E354" s="185"/>
      <c r="F354" s="185"/>
      <c r="G354" s="185"/>
      <c r="H354" s="185"/>
      <c r="I354" s="185"/>
      <c r="J354" s="185"/>
      <c r="K354" s="185"/>
      <c r="L354" s="185"/>
      <c r="M354" s="185"/>
      <c r="N354" s="185"/>
      <c r="O354" s="185"/>
      <c r="P354" s="185"/>
      <c r="Q354" s="185"/>
      <c r="R354" s="185"/>
      <c r="S354" s="185"/>
      <c r="T354" s="185"/>
      <c r="U354" s="185"/>
      <c r="V354" s="185"/>
      <c r="W354" s="185"/>
      <c r="X354" s="185"/>
      <c r="Y354" s="181">
        <f t="shared" si="16"/>
        <v>0</v>
      </c>
    </row>
    <row r="355" spans="1:28" x14ac:dyDescent="0.25">
      <c r="A355" s="180">
        <v>43787</v>
      </c>
      <c r="B355" s="185"/>
      <c r="C355" s="185"/>
      <c r="D355" s="185"/>
      <c r="E355" s="185"/>
      <c r="F355" s="185"/>
      <c r="G355" s="185"/>
      <c r="H355" s="185"/>
      <c r="I355" s="185"/>
      <c r="J355" s="185"/>
      <c r="K355" s="185"/>
      <c r="L355" s="185"/>
      <c r="M355" s="185"/>
      <c r="N355" s="185"/>
      <c r="O355" s="185"/>
      <c r="P355" s="185"/>
      <c r="Q355" s="185"/>
      <c r="R355" s="185"/>
      <c r="S355" s="185"/>
      <c r="T355" s="185"/>
      <c r="U355" s="185"/>
      <c r="V355" s="185"/>
      <c r="W355" s="185"/>
      <c r="X355" s="185"/>
      <c r="Y355" s="181">
        <f t="shared" si="16"/>
        <v>0</v>
      </c>
    </row>
    <row r="356" spans="1:28" x14ac:dyDescent="0.25">
      <c r="A356" s="180">
        <v>43788</v>
      </c>
      <c r="B356" s="185"/>
      <c r="C356" s="185"/>
      <c r="D356" s="185"/>
      <c r="E356" s="185"/>
      <c r="F356" s="185"/>
      <c r="G356" s="185"/>
      <c r="H356" s="185"/>
      <c r="I356" s="185"/>
      <c r="J356" s="185"/>
      <c r="K356" s="185"/>
      <c r="L356" s="185"/>
      <c r="M356" s="185"/>
      <c r="N356" s="185"/>
      <c r="O356" s="185"/>
      <c r="P356" s="185"/>
      <c r="Q356" s="185"/>
      <c r="R356" s="185"/>
      <c r="S356" s="185"/>
      <c r="T356" s="185"/>
      <c r="U356" s="185"/>
      <c r="V356" s="185"/>
      <c r="W356" s="185"/>
      <c r="X356" s="185"/>
      <c r="Y356" s="181">
        <f t="shared" si="16"/>
        <v>0</v>
      </c>
    </row>
    <row r="357" spans="1:28" x14ac:dyDescent="0.25">
      <c r="A357" s="180">
        <v>43789</v>
      </c>
      <c r="B357" s="185"/>
      <c r="C357" s="185"/>
      <c r="D357" s="185"/>
      <c r="E357" s="185"/>
      <c r="F357" s="185"/>
      <c r="G357" s="185"/>
      <c r="H357" s="185"/>
      <c r="I357" s="185"/>
      <c r="J357" s="185"/>
      <c r="K357" s="185"/>
      <c r="L357" s="185"/>
      <c r="M357" s="185"/>
      <c r="N357" s="185"/>
      <c r="O357" s="185"/>
      <c r="P357" s="185"/>
      <c r="Q357" s="185"/>
      <c r="R357" s="185"/>
      <c r="S357" s="185"/>
      <c r="T357" s="185"/>
      <c r="U357" s="185"/>
      <c r="V357" s="185"/>
      <c r="W357" s="185"/>
      <c r="X357" s="185"/>
      <c r="Y357" s="181">
        <f t="shared" si="16"/>
        <v>0</v>
      </c>
    </row>
    <row r="358" spans="1:28" x14ac:dyDescent="0.25">
      <c r="A358" s="180">
        <v>43790</v>
      </c>
      <c r="B358" s="185"/>
      <c r="C358" s="185"/>
      <c r="D358" s="185"/>
      <c r="E358" s="185"/>
      <c r="F358" s="185"/>
      <c r="G358" s="185"/>
      <c r="H358" s="185"/>
      <c r="I358" s="185"/>
      <c r="J358" s="185"/>
      <c r="K358" s="185"/>
      <c r="L358" s="185"/>
      <c r="M358" s="185"/>
      <c r="N358" s="185"/>
      <c r="O358" s="185"/>
      <c r="P358" s="185"/>
      <c r="Q358" s="185"/>
      <c r="R358" s="185"/>
      <c r="S358" s="185"/>
      <c r="T358" s="185"/>
      <c r="U358" s="185"/>
      <c r="V358" s="185"/>
      <c r="W358" s="185"/>
      <c r="X358" s="185"/>
      <c r="Y358" s="181">
        <f t="shared" si="16"/>
        <v>0</v>
      </c>
    </row>
    <row r="359" spans="1:28" x14ac:dyDescent="0.25">
      <c r="A359" s="180">
        <v>43791</v>
      </c>
      <c r="B359" s="185"/>
      <c r="C359" s="185"/>
      <c r="D359" s="185"/>
      <c r="E359" s="185"/>
      <c r="F359" s="185"/>
      <c r="G359" s="185"/>
      <c r="H359" s="185"/>
      <c r="I359" s="185"/>
      <c r="J359" s="185"/>
      <c r="K359" s="185"/>
      <c r="L359" s="185"/>
      <c r="M359" s="185"/>
      <c r="N359" s="185"/>
      <c r="O359" s="185"/>
      <c r="P359" s="185"/>
      <c r="Q359" s="185"/>
      <c r="R359" s="185"/>
      <c r="S359" s="185"/>
      <c r="T359" s="185"/>
      <c r="U359" s="185"/>
      <c r="V359" s="185"/>
      <c r="W359" s="185"/>
      <c r="X359" s="185"/>
      <c r="Y359" s="181">
        <f>SUM(B359:X359)</f>
        <v>0</v>
      </c>
    </row>
    <row r="360" spans="1:28" x14ac:dyDescent="0.25">
      <c r="A360" s="180">
        <v>43792</v>
      </c>
      <c r="B360" s="185"/>
      <c r="C360" s="185"/>
      <c r="D360" s="185"/>
      <c r="E360" s="185"/>
      <c r="F360" s="185"/>
      <c r="G360" s="185"/>
      <c r="H360" s="185"/>
      <c r="I360" s="185"/>
      <c r="J360" s="185"/>
      <c r="K360" s="185"/>
      <c r="L360" s="185"/>
      <c r="M360" s="185"/>
      <c r="N360" s="185"/>
      <c r="O360" s="185"/>
      <c r="P360" s="185"/>
      <c r="Q360" s="185"/>
      <c r="R360" s="185"/>
      <c r="S360" s="185"/>
      <c r="T360" s="185"/>
      <c r="U360" s="185"/>
      <c r="V360" s="185"/>
      <c r="W360" s="185"/>
      <c r="Y360" s="181">
        <f t="shared" ref="Y360:Y368" si="17">SUM(B360:X360)</f>
        <v>0</v>
      </c>
      <c r="AA360" s="182"/>
      <c r="AB360" s="182"/>
    </row>
    <row r="361" spans="1:28" x14ac:dyDescent="0.25">
      <c r="A361" s="180">
        <v>43793</v>
      </c>
      <c r="B361" s="185"/>
      <c r="C361" s="185"/>
      <c r="D361" s="185"/>
      <c r="E361" s="185"/>
      <c r="F361" s="185"/>
      <c r="G361" s="185"/>
      <c r="H361" s="185"/>
      <c r="I361" s="185"/>
      <c r="J361" s="185"/>
      <c r="K361" s="185"/>
      <c r="L361" s="185"/>
      <c r="M361" s="185"/>
      <c r="N361" s="185"/>
      <c r="O361" s="185"/>
      <c r="P361" s="185"/>
      <c r="Q361" s="185"/>
      <c r="R361" s="185"/>
      <c r="S361" s="185"/>
      <c r="T361" s="185"/>
      <c r="U361" s="185"/>
      <c r="V361" s="185"/>
      <c r="W361" s="185"/>
      <c r="X361" s="185"/>
      <c r="Y361" s="181">
        <f>SUM(B361:X361)</f>
        <v>0</v>
      </c>
    </row>
    <row r="362" spans="1:28" x14ac:dyDescent="0.25">
      <c r="A362" s="180">
        <v>43794</v>
      </c>
      <c r="B362" s="185"/>
      <c r="C362" s="185"/>
      <c r="D362" s="185"/>
      <c r="E362" s="185"/>
      <c r="F362" s="185"/>
      <c r="G362" s="185"/>
      <c r="H362" s="185"/>
      <c r="I362" s="185"/>
      <c r="J362" s="185"/>
      <c r="K362" s="185"/>
      <c r="L362" s="185"/>
      <c r="M362" s="185"/>
      <c r="N362" s="185"/>
      <c r="O362" s="185"/>
      <c r="P362" s="185"/>
      <c r="Q362" s="185"/>
      <c r="R362" s="185"/>
      <c r="S362" s="185"/>
      <c r="T362" s="185"/>
      <c r="U362" s="185"/>
      <c r="V362" s="185"/>
      <c r="W362" s="185"/>
      <c r="X362" s="185"/>
      <c r="Y362" s="181">
        <f t="shared" si="17"/>
        <v>0</v>
      </c>
    </row>
    <row r="363" spans="1:28" x14ac:dyDescent="0.25">
      <c r="A363" s="180">
        <v>43795</v>
      </c>
      <c r="B363" s="185"/>
      <c r="C363" s="185"/>
      <c r="D363" s="185"/>
      <c r="E363" s="185"/>
      <c r="F363" s="185"/>
      <c r="G363" s="185"/>
      <c r="H363" s="185"/>
      <c r="I363" s="185"/>
      <c r="J363" s="185"/>
      <c r="K363" s="185"/>
      <c r="L363" s="185"/>
      <c r="M363" s="185"/>
      <c r="N363" s="185"/>
      <c r="O363" s="185"/>
      <c r="P363" s="185"/>
      <c r="Q363" s="185"/>
      <c r="R363" s="185"/>
      <c r="S363" s="185"/>
      <c r="T363" s="185"/>
      <c r="U363" s="185"/>
      <c r="V363" s="185"/>
      <c r="W363" s="185"/>
      <c r="X363" s="185"/>
      <c r="Y363" s="181">
        <f t="shared" si="17"/>
        <v>0</v>
      </c>
    </row>
    <row r="364" spans="1:28" x14ac:dyDescent="0.25">
      <c r="A364" s="180">
        <v>43796</v>
      </c>
      <c r="B364" s="185"/>
      <c r="C364" s="185"/>
      <c r="D364" s="185"/>
      <c r="E364" s="185"/>
      <c r="F364" s="185"/>
      <c r="G364" s="185"/>
      <c r="H364" s="185"/>
      <c r="I364" s="185"/>
      <c r="J364" s="185"/>
      <c r="K364" s="185"/>
      <c r="L364" s="185"/>
      <c r="M364" s="185"/>
      <c r="N364" s="185"/>
      <c r="O364" s="185"/>
      <c r="P364" s="185"/>
      <c r="Q364" s="185"/>
      <c r="R364" s="185"/>
      <c r="S364" s="185"/>
      <c r="T364" s="185"/>
      <c r="U364" s="185"/>
      <c r="V364" s="185"/>
      <c r="W364" s="185"/>
      <c r="X364" s="185"/>
      <c r="Y364" s="181">
        <f t="shared" si="17"/>
        <v>0</v>
      </c>
    </row>
    <row r="365" spans="1:28" x14ac:dyDescent="0.25">
      <c r="A365" s="180">
        <v>43797</v>
      </c>
      <c r="B365" s="185"/>
      <c r="C365" s="185"/>
      <c r="D365" s="185"/>
      <c r="E365" s="185"/>
      <c r="F365" s="185"/>
      <c r="G365" s="185"/>
      <c r="H365" s="185"/>
      <c r="I365" s="185"/>
      <c r="J365" s="185"/>
      <c r="K365" s="185"/>
      <c r="L365" s="185"/>
      <c r="M365" s="185"/>
      <c r="N365" s="185"/>
      <c r="O365" s="185"/>
      <c r="P365" s="185"/>
      <c r="Q365" s="185"/>
      <c r="R365" s="185"/>
      <c r="S365" s="185"/>
      <c r="T365" s="185"/>
      <c r="U365" s="185"/>
      <c r="V365" s="185"/>
      <c r="W365" s="185"/>
      <c r="X365" s="185"/>
      <c r="Y365" s="181">
        <f t="shared" si="17"/>
        <v>0</v>
      </c>
    </row>
    <row r="366" spans="1:28" x14ac:dyDescent="0.25">
      <c r="A366" s="180">
        <v>43798</v>
      </c>
      <c r="B366" s="185"/>
      <c r="C366" s="185"/>
      <c r="D366" s="185"/>
      <c r="E366" s="185"/>
      <c r="F366" s="185"/>
      <c r="G366" s="185"/>
      <c r="H366" s="185"/>
      <c r="I366" s="185"/>
      <c r="J366" s="185"/>
      <c r="K366" s="185"/>
      <c r="L366" s="185"/>
      <c r="M366" s="185"/>
      <c r="N366" s="185"/>
      <c r="O366" s="185"/>
      <c r="P366" s="185"/>
      <c r="Q366" s="185"/>
      <c r="R366" s="185"/>
      <c r="S366" s="185"/>
      <c r="T366" s="185"/>
      <c r="U366" s="185"/>
      <c r="V366" s="185"/>
      <c r="W366" s="185"/>
      <c r="X366" s="185"/>
      <c r="Y366" s="181">
        <f t="shared" si="17"/>
        <v>0</v>
      </c>
    </row>
    <row r="367" spans="1:28" x14ac:dyDescent="0.25">
      <c r="A367" s="180">
        <v>43799</v>
      </c>
      <c r="B367" s="185"/>
      <c r="C367" s="185"/>
      <c r="D367" s="185"/>
      <c r="E367" s="185"/>
      <c r="F367" s="185"/>
      <c r="G367" s="185"/>
      <c r="H367" s="185"/>
      <c r="I367" s="185"/>
      <c r="J367" s="185"/>
      <c r="K367" s="185"/>
      <c r="L367" s="185"/>
      <c r="M367" s="185"/>
      <c r="N367" s="185"/>
      <c r="O367" s="185"/>
      <c r="P367" s="185"/>
      <c r="Q367" s="185"/>
      <c r="R367" s="185"/>
      <c r="S367" s="185"/>
      <c r="T367" s="185"/>
      <c r="U367" s="185"/>
      <c r="V367" s="185"/>
      <c r="W367" s="185"/>
      <c r="X367" s="185"/>
      <c r="Y367" s="181">
        <f t="shared" si="17"/>
        <v>0</v>
      </c>
    </row>
    <row r="368" spans="1:28" x14ac:dyDescent="0.25">
      <c r="B368" s="185"/>
      <c r="C368" s="185"/>
      <c r="D368" s="185"/>
      <c r="E368" s="185"/>
      <c r="F368" s="185"/>
      <c r="G368" s="185"/>
      <c r="H368" s="185"/>
      <c r="I368" s="185"/>
      <c r="J368" s="185"/>
      <c r="K368" s="185"/>
      <c r="L368" s="185"/>
      <c r="M368" s="185"/>
      <c r="N368" s="185"/>
      <c r="O368" s="185"/>
      <c r="P368" s="185"/>
      <c r="Q368" s="185"/>
      <c r="R368" s="185"/>
      <c r="S368" s="185"/>
      <c r="T368" s="185"/>
      <c r="U368" s="185"/>
      <c r="V368" s="185"/>
      <c r="W368" s="185"/>
      <c r="X368" s="185"/>
      <c r="Y368" s="181">
        <f t="shared" si="17"/>
        <v>0</v>
      </c>
    </row>
    <row r="369" spans="1:25" x14ac:dyDescent="0.25">
      <c r="B369" s="188">
        <f>SUM(B337:B368)</f>
        <v>0</v>
      </c>
      <c r="C369" s="188">
        <f t="shared" ref="C369:X369" si="18">SUM(C337:C368)</f>
        <v>0</v>
      </c>
      <c r="D369" s="188">
        <f t="shared" si="18"/>
        <v>0</v>
      </c>
      <c r="E369" s="188">
        <f t="shared" si="18"/>
        <v>0</v>
      </c>
      <c r="F369" s="188">
        <f t="shared" si="18"/>
        <v>0</v>
      </c>
      <c r="G369" s="188">
        <f t="shared" si="18"/>
        <v>0</v>
      </c>
      <c r="H369" s="188">
        <f t="shared" si="18"/>
        <v>0</v>
      </c>
      <c r="I369" s="188">
        <f t="shared" si="18"/>
        <v>0</v>
      </c>
      <c r="J369" s="188">
        <f t="shared" si="18"/>
        <v>0</v>
      </c>
      <c r="K369" s="188">
        <f t="shared" si="18"/>
        <v>0</v>
      </c>
      <c r="L369" s="188">
        <f t="shared" si="18"/>
        <v>0</v>
      </c>
      <c r="M369" s="188">
        <f t="shared" si="18"/>
        <v>0</v>
      </c>
      <c r="N369" s="188">
        <f t="shared" si="18"/>
        <v>0</v>
      </c>
      <c r="O369" s="188">
        <f t="shared" si="18"/>
        <v>0</v>
      </c>
      <c r="P369" s="188">
        <f t="shared" si="18"/>
        <v>0</v>
      </c>
      <c r="Q369" s="188">
        <f t="shared" si="18"/>
        <v>0</v>
      </c>
      <c r="R369" s="188">
        <f t="shared" si="18"/>
        <v>0</v>
      </c>
      <c r="S369" s="188">
        <f t="shared" si="18"/>
        <v>0</v>
      </c>
      <c r="T369" s="188">
        <f t="shared" si="18"/>
        <v>0</v>
      </c>
      <c r="U369" s="188">
        <f t="shared" si="18"/>
        <v>0</v>
      </c>
      <c r="V369" s="188">
        <f t="shared" si="18"/>
        <v>0</v>
      </c>
      <c r="W369" s="188">
        <f t="shared" si="18"/>
        <v>0</v>
      </c>
      <c r="X369" s="188">
        <f t="shared" si="18"/>
        <v>0</v>
      </c>
      <c r="Y369" s="188">
        <f>SUM(Y337:Y368)</f>
        <v>0</v>
      </c>
    </row>
    <row r="370" spans="1:25" x14ac:dyDescent="0.25">
      <c r="Y370" s="181">
        <f t="shared" ref="Y370:Y401" si="19">SUM(B370:X370)</f>
        <v>0</v>
      </c>
    </row>
    <row r="371" spans="1:25" x14ac:dyDescent="0.25">
      <c r="A371" s="180">
        <v>43800</v>
      </c>
      <c r="B371" s="184"/>
      <c r="Y371" s="184">
        <f t="shared" si="19"/>
        <v>0</v>
      </c>
    </row>
    <row r="372" spans="1:25" x14ac:dyDescent="0.25">
      <c r="A372" s="180">
        <v>43801</v>
      </c>
      <c r="B372" s="184"/>
      <c r="Y372" s="184">
        <f t="shared" si="19"/>
        <v>0</v>
      </c>
    </row>
    <row r="373" spans="1:25" x14ac:dyDescent="0.25">
      <c r="A373" s="180">
        <v>43802</v>
      </c>
      <c r="B373" s="184"/>
      <c r="Y373" s="184">
        <f t="shared" si="19"/>
        <v>0</v>
      </c>
    </row>
    <row r="374" spans="1:25" x14ac:dyDescent="0.25">
      <c r="A374" s="180">
        <v>43803</v>
      </c>
      <c r="B374" s="184"/>
      <c r="Y374" s="184">
        <f t="shared" si="19"/>
        <v>0</v>
      </c>
    </row>
    <row r="375" spans="1:25" x14ac:dyDescent="0.25">
      <c r="A375" s="180">
        <v>43804</v>
      </c>
      <c r="B375" s="184"/>
      <c r="Y375" s="184">
        <f t="shared" si="19"/>
        <v>0</v>
      </c>
    </row>
    <row r="376" spans="1:25" x14ac:dyDescent="0.25">
      <c r="A376" s="180">
        <v>43805</v>
      </c>
      <c r="B376" s="184"/>
      <c r="Y376" s="184">
        <f t="shared" si="19"/>
        <v>0</v>
      </c>
    </row>
    <row r="377" spans="1:25" x14ac:dyDescent="0.25">
      <c r="A377" s="180">
        <v>43806</v>
      </c>
      <c r="B377" s="184"/>
      <c r="C377" s="184"/>
      <c r="D377" s="184"/>
      <c r="E377" s="184"/>
      <c r="F377" s="184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4"/>
      <c r="V377" s="184"/>
      <c r="W377" s="184"/>
      <c r="Y377" s="184">
        <f t="shared" si="19"/>
        <v>0</v>
      </c>
    </row>
    <row r="378" spans="1:25" x14ac:dyDescent="0.25">
      <c r="A378" s="180">
        <v>43807</v>
      </c>
      <c r="B378" s="184"/>
      <c r="C378" s="184"/>
      <c r="D378" s="184"/>
      <c r="E378" s="184"/>
      <c r="F378" s="184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4"/>
      <c r="V378" s="184"/>
      <c r="W378" s="184"/>
      <c r="Y378" s="184">
        <f t="shared" si="19"/>
        <v>0</v>
      </c>
    </row>
    <row r="379" spans="1:25" x14ac:dyDescent="0.25">
      <c r="A379" s="180">
        <v>43808</v>
      </c>
      <c r="B379" s="184"/>
      <c r="C379" s="184"/>
      <c r="D379" s="184"/>
      <c r="E379" s="184"/>
      <c r="F379" s="184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4"/>
      <c r="V379" s="184"/>
      <c r="W379" s="184"/>
      <c r="Y379" s="184">
        <f t="shared" si="19"/>
        <v>0</v>
      </c>
    </row>
    <row r="380" spans="1:25" x14ac:dyDescent="0.25">
      <c r="A380" s="180">
        <v>43809</v>
      </c>
      <c r="B380" s="184"/>
      <c r="C380" s="184"/>
      <c r="D380" s="184"/>
      <c r="E380" s="184"/>
      <c r="F380" s="184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4"/>
      <c r="V380" s="184"/>
      <c r="W380" s="184"/>
      <c r="Y380" s="184">
        <f t="shared" si="19"/>
        <v>0</v>
      </c>
    </row>
    <row r="381" spans="1:25" x14ac:dyDescent="0.25">
      <c r="A381" s="180">
        <v>43810</v>
      </c>
      <c r="B381" s="184"/>
      <c r="C381" s="184"/>
      <c r="D381" s="184"/>
      <c r="E381" s="184"/>
      <c r="F381" s="184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4"/>
      <c r="V381" s="184"/>
      <c r="W381" s="184"/>
      <c r="Y381" s="184">
        <f t="shared" si="19"/>
        <v>0</v>
      </c>
    </row>
    <row r="382" spans="1:25" x14ac:dyDescent="0.25">
      <c r="A382" s="180">
        <v>43811</v>
      </c>
      <c r="B382" s="184"/>
      <c r="C382" s="184"/>
      <c r="D382" s="184"/>
      <c r="E382" s="184"/>
      <c r="F382" s="184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4"/>
      <c r="V382" s="184"/>
      <c r="W382" s="184"/>
      <c r="Y382" s="184">
        <f t="shared" si="19"/>
        <v>0</v>
      </c>
    </row>
    <row r="383" spans="1:25" x14ac:dyDescent="0.25">
      <c r="A383" s="180">
        <v>43812</v>
      </c>
      <c r="B383" s="184"/>
      <c r="C383" s="184"/>
      <c r="D383" s="184"/>
      <c r="E383" s="184"/>
      <c r="F383" s="184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4"/>
      <c r="V383" s="184"/>
      <c r="W383" s="184"/>
      <c r="Y383" s="184">
        <f>SUM(B383:X383)</f>
        <v>0</v>
      </c>
    </row>
    <row r="384" spans="1:25" x14ac:dyDescent="0.25">
      <c r="A384" s="180">
        <v>43813</v>
      </c>
      <c r="B384" s="184"/>
      <c r="C384" s="184"/>
      <c r="D384" s="184"/>
      <c r="E384" s="184"/>
      <c r="F384" s="184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4"/>
      <c r="V384" s="184"/>
      <c r="W384" s="184"/>
      <c r="Y384" s="184">
        <f t="shared" si="19"/>
        <v>0</v>
      </c>
    </row>
    <row r="385" spans="1:25" x14ac:dyDescent="0.25">
      <c r="A385" s="180">
        <v>43814</v>
      </c>
      <c r="B385" s="184"/>
      <c r="C385" s="184"/>
      <c r="D385" s="184"/>
      <c r="E385" s="184"/>
      <c r="F385" s="184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4"/>
      <c r="V385" s="184"/>
      <c r="W385" s="184"/>
      <c r="Y385" s="184">
        <f t="shared" si="19"/>
        <v>0</v>
      </c>
    </row>
    <row r="386" spans="1:25" x14ac:dyDescent="0.25">
      <c r="A386" s="180">
        <v>43815</v>
      </c>
      <c r="B386" s="184"/>
      <c r="C386" s="184"/>
      <c r="D386" s="184"/>
      <c r="E386" s="184"/>
      <c r="F386" s="184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4"/>
      <c r="V386" s="184"/>
      <c r="W386" s="184"/>
      <c r="Y386" s="184">
        <f t="shared" si="19"/>
        <v>0</v>
      </c>
    </row>
    <row r="387" spans="1:25" x14ac:dyDescent="0.25">
      <c r="A387" s="180">
        <v>43816</v>
      </c>
      <c r="B387" s="184"/>
      <c r="C387" s="184"/>
      <c r="D387" s="184"/>
      <c r="E387" s="184"/>
      <c r="F387" s="184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4"/>
      <c r="V387" s="184"/>
      <c r="W387" s="184"/>
      <c r="Y387" s="184">
        <f t="shared" si="19"/>
        <v>0</v>
      </c>
    </row>
    <row r="388" spans="1:25" x14ac:dyDescent="0.25">
      <c r="A388" s="180">
        <v>43817</v>
      </c>
      <c r="B388" s="184"/>
      <c r="C388" s="184"/>
      <c r="D388" s="184"/>
      <c r="E388" s="184"/>
      <c r="F388" s="184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4"/>
      <c r="V388" s="184"/>
      <c r="W388" s="184"/>
      <c r="Y388" s="184">
        <f t="shared" si="19"/>
        <v>0</v>
      </c>
    </row>
    <row r="389" spans="1:25" x14ac:dyDescent="0.25">
      <c r="A389" s="180">
        <v>43818</v>
      </c>
      <c r="B389" s="184"/>
      <c r="C389" s="184"/>
      <c r="D389" s="184"/>
      <c r="E389" s="184"/>
      <c r="F389" s="184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4"/>
      <c r="V389" s="184"/>
      <c r="W389" s="184"/>
      <c r="Y389" s="184">
        <f t="shared" si="19"/>
        <v>0</v>
      </c>
    </row>
    <row r="390" spans="1:25" x14ac:dyDescent="0.25">
      <c r="A390" s="180">
        <v>43819</v>
      </c>
      <c r="B390" s="184"/>
      <c r="C390" s="184"/>
      <c r="D390" s="184"/>
      <c r="E390" s="184"/>
      <c r="F390" s="184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4"/>
      <c r="V390" s="184"/>
      <c r="W390" s="184"/>
      <c r="Y390" s="184">
        <f t="shared" si="19"/>
        <v>0</v>
      </c>
    </row>
    <row r="391" spans="1:25" x14ac:dyDescent="0.25">
      <c r="A391" s="180">
        <v>43820</v>
      </c>
      <c r="B391" s="184"/>
      <c r="C391" s="184"/>
      <c r="D391" s="184"/>
      <c r="E391" s="184"/>
      <c r="F391" s="184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4"/>
      <c r="V391" s="184"/>
      <c r="W391" s="184"/>
      <c r="Y391" s="184">
        <f t="shared" si="19"/>
        <v>0</v>
      </c>
    </row>
    <row r="392" spans="1:25" x14ac:dyDescent="0.25">
      <c r="A392" s="180">
        <v>43821</v>
      </c>
      <c r="B392" s="184"/>
      <c r="C392" s="184"/>
      <c r="D392" s="184"/>
      <c r="E392" s="184"/>
      <c r="F392" s="184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4"/>
      <c r="V392" s="184"/>
      <c r="W392" s="184"/>
      <c r="Y392" s="184">
        <f t="shared" si="19"/>
        <v>0</v>
      </c>
    </row>
    <row r="393" spans="1:25" x14ac:dyDescent="0.25">
      <c r="A393" s="180">
        <v>43822</v>
      </c>
      <c r="B393" s="184"/>
      <c r="C393" s="184"/>
      <c r="D393" s="184"/>
      <c r="E393" s="184"/>
      <c r="F393" s="184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4"/>
      <c r="V393" s="184"/>
      <c r="W393" s="184"/>
      <c r="Y393" s="184">
        <f t="shared" si="19"/>
        <v>0</v>
      </c>
    </row>
    <row r="394" spans="1:25" x14ac:dyDescent="0.25">
      <c r="A394" s="180">
        <v>43823</v>
      </c>
      <c r="B394" s="184"/>
      <c r="C394" s="184"/>
      <c r="D394" s="184"/>
      <c r="E394" s="184"/>
      <c r="F394" s="184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4"/>
      <c r="V394" s="184"/>
      <c r="W394" s="184"/>
      <c r="Y394" s="184">
        <f t="shared" si="19"/>
        <v>0</v>
      </c>
    </row>
    <row r="395" spans="1:25" x14ac:dyDescent="0.25">
      <c r="A395" s="180">
        <v>43824</v>
      </c>
      <c r="B395" s="184"/>
      <c r="C395" s="184"/>
      <c r="D395" s="184"/>
      <c r="E395" s="184"/>
      <c r="F395" s="184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4"/>
      <c r="V395" s="184"/>
      <c r="W395" s="184"/>
      <c r="Y395" s="184">
        <f t="shared" si="19"/>
        <v>0</v>
      </c>
    </row>
    <row r="396" spans="1:25" x14ac:dyDescent="0.25">
      <c r="A396" s="180">
        <v>43825</v>
      </c>
      <c r="B396" s="184"/>
      <c r="C396" s="184"/>
      <c r="D396" s="184"/>
      <c r="E396" s="184"/>
      <c r="F396" s="184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4"/>
      <c r="V396" s="184"/>
      <c r="W396" s="184"/>
      <c r="Y396" s="184">
        <f t="shared" si="19"/>
        <v>0</v>
      </c>
    </row>
    <row r="397" spans="1:25" x14ac:dyDescent="0.25">
      <c r="A397" s="180">
        <v>43826</v>
      </c>
      <c r="B397" s="184"/>
      <c r="C397" s="184"/>
      <c r="D397" s="184"/>
      <c r="E397" s="184"/>
      <c r="F397" s="184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4"/>
      <c r="V397" s="184"/>
      <c r="W397" s="184"/>
      <c r="Y397" s="184">
        <f t="shared" si="19"/>
        <v>0</v>
      </c>
    </row>
    <row r="398" spans="1:25" x14ac:dyDescent="0.25">
      <c r="A398" s="180">
        <v>43827</v>
      </c>
      <c r="B398" s="184"/>
      <c r="C398" s="184"/>
      <c r="D398" s="184"/>
      <c r="E398" s="184"/>
      <c r="F398" s="184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4"/>
      <c r="V398" s="184"/>
      <c r="W398" s="184"/>
      <c r="Y398" s="184">
        <f t="shared" si="19"/>
        <v>0</v>
      </c>
    </row>
    <row r="399" spans="1:25" x14ac:dyDescent="0.25">
      <c r="A399" s="180">
        <v>43828</v>
      </c>
      <c r="B399" s="184"/>
      <c r="C399" s="184"/>
      <c r="D399" s="184"/>
      <c r="E399" s="184"/>
      <c r="F399" s="184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4"/>
      <c r="V399" s="184"/>
      <c r="W399" s="184"/>
      <c r="Y399" s="184">
        <f t="shared" si="19"/>
        <v>0</v>
      </c>
    </row>
    <row r="400" spans="1:25" x14ac:dyDescent="0.25">
      <c r="A400" s="180">
        <v>43829</v>
      </c>
      <c r="B400" s="184"/>
      <c r="C400" s="184"/>
      <c r="D400" s="184"/>
      <c r="E400" s="184"/>
      <c r="F400" s="184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4"/>
      <c r="V400" s="184"/>
      <c r="W400" s="184"/>
      <c r="Y400" s="184">
        <f t="shared" si="19"/>
        <v>0</v>
      </c>
    </row>
    <row r="401" spans="1:25" x14ac:dyDescent="0.25">
      <c r="A401" s="180">
        <v>43830</v>
      </c>
      <c r="B401" s="184"/>
      <c r="C401" s="184"/>
      <c r="D401" s="184"/>
      <c r="E401" s="184"/>
      <c r="F401" s="184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4"/>
      <c r="V401" s="184"/>
      <c r="W401" s="184"/>
      <c r="Y401" s="184">
        <f t="shared" si="19"/>
        <v>0</v>
      </c>
    </row>
    <row r="402" spans="1:25" x14ac:dyDescent="0.25">
      <c r="B402" s="181"/>
    </row>
    <row r="403" spans="1:25" x14ac:dyDescent="0.25">
      <c r="B403" s="183">
        <f t="shared" ref="B403:V403" si="20">SUM(B370:B402)</f>
        <v>0</v>
      </c>
      <c r="C403" s="183">
        <f t="shared" si="20"/>
        <v>0</v>
      </c>
      <c r="D403" s="183">
        <f t="shared" si="20"/>
        <v>0</v>
      </c>
      <c r="E403" s="183">
        <f t="shared" si="20"/>
        <v>0</v>
      </c>
      <c r="F403" s="183">
        <f t="shared" si="20"/>
        <v>0</v>
      </c>
      <c r="G403" s="183">
        <f t="shared" si="20"/>
        <v>0</v>
      </c>
      <c r="H403" s="183">
        <f t="shared" si="20"/>
        <v>0</v>
      </c>
      <c r="I403" s="183">
        <f t="shared" si="20"/>
        <v>0</v>
      </c>
      <c r="J403" s="183">
        <f t="shared" si="20"/>
        <v>0</v>
      </c>
      <c r="K403" s="183">
        <f t="shared" si="20"/>
        <v>0</v>
      </c>
      <c r="L403" s="183">
        <f t="shared" si="20"/>
        <v>0</v>
      </c>
      <c r="M403" s="183">
        <f t="shared" si="20"/>
        <v>0</v>
      </c>
      <c r="N403" s="183">
        <f t="shared" si="20"/>
        <v>0</v>
      </c>
      <c r="O403" s="183">
        <f t="shared" si="20"/>
        <v>0</v>
      </c>
      <c r="P403" s="183">
        <f t="shared" si="20"/>
        <v>0</v>
      </c>
      <c r="Q403" s="183">
        <f t="shared" si="20"/>
        <v>0</v>
      </c>
      <c r="R403" s="183">
        <f t="shared" si="20"/>
        <v>0</v>
      </c>
      <c r="S403" s="183">
        <f t="shared" si="20"/>
        <v>0</v>
      </c>
      <c r="T403" s="183">
        <f t="shared" si="20"/>
        <v>0</v>
      </c>
      <c r="U403" s="183">
        <f t="shared" si="20"/>
        <v>0</v>
      </c>
      <c r="V403" s="183">
        <f t="shared" si="20"/>
        <v>0</v>
      </c>
      <c r="W403" s="183">
        <f>SUM(W370:W402)</f>
        <v>0</v>
      </c>
      <c r="X403" s="183">
        <f>SUM(X370:X402)</f>
        <v>0</v>
      </c>
      <c r="Y403" s="183">
        <f>SUM(Y370:Y402)</f>
        <v>0</v>
      </c>
    </row>
    <row r="405" spans="1:25" x14ac:dyDescent="0.25">
      <c r="A405" s="180" t="s">
        <v>240</v>
      </c>
      <c r="B405" s="189">
        <f>B36+B67+B101+B134+B168+B201+B235+B269+B302+B336+B369+B403</f>
        <v>0</v>
      </c>
      <c r="C405" s="189">
        <f t="shared" ref="C405:X405" si="21">C36+C67+C101+C134+C168+C201+C235+C269+C302+C336+C369+C403</f>
        <v>0</v>
      </c>
      <c r="D405" s="189">
        <f t="shared" si="21"/>
        <v>0</v>
      </c>
      <c r="E405" s="189">
        <f t="shared" si="21"/>
        <v>0</v>
      </c>
      <c r="F405" s="189">
        <f t="shared" si="21"/>
        <v>236.75</v>
      </c>
      <c r="G405" s="189">
        <f t="shared" si="21"/>
        <v>0</v>
      </c>
      <c r="H405" s="189">
        <f t="shared" si="21"/>
        <v>0</v>
      </c>
      <c r="I405" s="189">
        <f t="shared" si="21"/>
        <v>225</v>
      </c>
      <c r="J405" s="189">
        <f t="shared" si="21"/>
        <v>86.919999999999987</v>
      </c>
      <c r="K405" s="189">
        <f t="shared" si="21"/>
        <v>613.43000000000006</v>
      </c>
      <c r="L405" s="189">
        <f t="shared" si="21"/>
        <v>0</v>
      </c>
      <c r="M405" s="189">
        <f t="shared" si="21"/>
        <v>0</v>
      </c>
      <c r="N405" s="189">
        <f t="shared" si="21"/>
        <v>0</v>
      </c>
      <c r="O405" s="189">
        <f t="shared" si="21"/>
        <v>0</v>
      </c>
      <c r="P405" s="189">
        <f t="shared" si="21"/>
        <v>0</v>
      </c>
      <c r="Q405" s="189">
        <f t="shared" si="21"/>
        <v>0</v>
      </c>
      <c r="R405" s="189">
        <f t="shared" si="21"/>
        <v>0</v>
      </c>
      <c r="S405" s="189">
        <f t="shared" si="21"/>
        <v>0</v>
      </c>
      <c r="T405" s="189">
        <f t="shared" si="21"/>
        <v>0</v>
      </c>
      <c r="U405" s="189">
        <f t="shared" si="21"/>
        <v>236.75</v>
      </c>
      <c r="V405" s="189">
        <f t="shared" si="21"/>
        <v>0</v>
      </c>
      <c r="W405" s="189">
        <f t="shared" si="21"/>
        <v>0</v>
      </c>
      <c r="X405" s="189">
        <f t="shared" si="21"/>
        <v>342.97</v>
      </c>
      <c r="Y405" s="189">
        <f>Y36+Y67+Y101+Y134+Y168+Y201+Y235+Y269+Y302+Y336+Y369+Y403</f>
        <v>1741.82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Folha</vt:lpstr>
      <vt:lpstr>FATURAMENTO </vt:lpstr>
      <vt:lpstr>DESPESAS</vt:lpstr>
      <vt:lpstr>FOLHA DE PAGAMENTOS</vt:lpstr>
      <vt:lpstr>Tarifas Bancárias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Freitas</dc:creator>
  <cp:lastModifiedBy>Carlos Freitas</cp:lastModifiedBy>
  <cp:lastPrinted>2026-02-19T12:48:27Z</cp:lastPrinted>
  <dcterms:created xsi:type="dcterms:W3CDTF">2026-02-01T18:53:44Z</dcterms:created>
  <dcterms:modified xsi:type="dcterms:W3CDTF">2026-03-16T00:41:53Z</dcterms:modified>
</cp:coreProperties>
</file>