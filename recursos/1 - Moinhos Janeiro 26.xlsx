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G:\Meu Drive\Moinhos\Financeiro\"/>
    </mc:Choice>
  </mc:AlternateContent>
  <xr:revisionPtr revIDLastSave="0" documentId="13_ncr:1_{1BB5F025-ABE9-459C-9871-0A72DB24F09B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Controles" sheetId="1" r:id="rId1"/>
    <sheet name="Agenciamentos" sheetId="3" r:id="rId2"/>
    <sheet name="Indicações" sheetId="6" r:id="rId3"/>
    <sheet name="Ags. de Venda" sheetId="7" r:id="rId4"/>
  </sheets>
  <definedNames>
    <definedName name="_FilterDatabase_0" localSheetId="0">Controles!$A$1:$X$14</definedName>
    <definedName name="_xlnm._FilterDatabase" localSheetId="0" hidden="1">Controles!$A$1:$X$14</definedName>
  </definedNames>
  <calcPr calcId="191029"/>
</workbook>
</file>

<file path=xl/calcChain.xml><?xml version="1.0" encoding="utf-8"?>
<calcChain xmlns="http://schemas.openxmlformats.org/spreadsheetml/2006/main">
  <c r="P14" i="1" l="1"/>
  <c r="G17" i="1"/>
  <c r="I128" i="1" l="1"/>
  <c r="P26" i="3" l="1"/>
  <c r="Q26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3" i="3"/>
  <c r="Q2" i="3"/>
  <c r="M64" i="1"/>
  <c r="K71" i="1" l="1"/>
  <c r="M3" i="3" l="1"/>
  <c r="G54" i="1"/>
  <c r="G48" i="1"/>
  <c r="G79" i="1"/>
  <c r="G92" i="1"/>
  <c r="G95" i="1" s="1"/>
  <c r="G107" i="1"/>
  <c r="G69" i="1"/>
  <c r="G71" i="1" s="1"/>
  <c r="G141" i="1"/>
  <c r="G133" i="1"/>
  <c r="G128" i="1"/>
  <c r="G123" i="1"/>
  <c r="O42" i="1"/>
  <c r="G76" i="1"/>
  <c r="G80" i="1" s="1"/>
  <c r="G106" i="1"/>
  <c r="G105" i="1"/>
  <c r="N38" i="1"/>
  <c r="M38" i="1"/>
  <c r="L38" i="1"/>
  <c r="N39" i="1"/>
  <c r="M39" i="1"/>
  <c r="L39" i="1"/>
  <c r="J39" i="1"/>
  <c r="J38" i="1"/>
  <c r="M67" i="1"/>
  <c r="M69" i="1" s="1"/>
  <c r="M89" i="1"/>
  <c r="M106" i="1"/>
  <c r="J33" i="1"/>
  <c r="G118" i="1"/>
  <c r="G99" i="1"/>
  <c r="G60" i="1"/>
  <c r="K42" i="1"/>
  <c r="H42" i="1"/>
  <c r="G42" i="1"/>
  <c r="F42" i="1"/>
  <c r="I42" i="1"/>
  <c r="G108" i="1" l="1"/>
  <c r="L42" i="1"/>
  <c r="M42" i="1"/>
  <c r="N42" i="1"/>
  <c r="J42" i="1"/>
  <c r="M13" i="3"/>
  <c r="M14" i="3"/>
  <c r="M15" i="3"/>
  <c r="M16" i="3"/>
  <c r="M17" i="3"/>
  <c r="M18" i="3"/>
  <c r="M12" i="3"/>
  <c r="M23" i="3"/>
  <c r="M22" i="3"/>
  <c r="L17" i="3"/>
  <c r="L15" i="3"/>
  <c r="M9" i="3"/>
  <c r="L9" i="3"/>
  <c r="L14" i="3"/>
  <c r="L13" i="3"/>
  <c r="L4" i="3"/>
  <c r="M4" i="3"/>
  <c r="L22" i="3"/>
  <c r="M2" i="3"/>
  <c r="K23" i="1"/>
  <c r="K20" i="1"/>
  <c r="X3" i="1"/>
  <c r="X2" i="1"/>
  <c r="X6" i="1"/>
  <c r="P42" i="1" l="1"/>
  <c r="M4" i="1"/>
  <c r="M5" i="1"/>
  <c r="M6" i="1"/>
  <c r="M2" i="1"/>
  <c r="M7" i="1"/>
  <c r="H2" i="1"/>
  <c r="J2" i="1"/>
  <c r="H3" i="1"/>
  <c r="J3" i="1"/>
  <c r="H6" i="1"/>
  <c r="J6" i="1"/>
  <c r="L16" i="3"/>
  <c r="L18" i="3"/>
  <c r="X9" i="1" l="1"/>
  <c r="X4" i="1"/>
  <c r="X5" i="1"/>
  <c r="X8" i="1"/>
  <c r="X7" i="1"/>
  <c r="J9" i="1" l="1"/>
  <c r="H8" i="1"/>
  <c r="H9" i="1"/>
  <c r="H7" i="1"/>
  <c r="J8" i="1"/>
  <c r="J7" i="1"/>
  <c r="H4" i="1"/>
  <c r="J4" i="1"/>
  <c r="H5" i="1"/>
  <c r="J5" i="1"/>
  <c r="G8" i="6"/>
  <c r="I26" i="3"/>
  <c r="C23" i="3"/>
  <c r="M8" i="3" l="1"/>
  <c r="L23" i="3"/>
  <c r="L26" i="3" l="1"/>
  <c r="C19" i="3"/>
  <c r="C21" i="3"/>
  <c r="C17" i="3"/>
  <c r="H26" i="3" l="1"/>
  <c r="C9" i="7"/>
  <c r="D7" i="7"/>
  <c r="D9" i="7"/>
  <c r="O13" i="1" l="1"/>
  <c r="M13" i="1"/>
  <c r="C26" i="3" l="1"/>
  <c r="M26" i="3" l="1"/>
  <c r="G13" i="1" l="1"/>
  <c r="H13" i="1" l="1"/>
  <c r="J13" i="1" l="1"/>
  <c r="G19" i="1" l="1"/>
  <c r="K17" i="1"/>
  <c r="B26" i="3"/>
</calcChain>
</file>

<file path=xl/sharedStrings.xml><?xml version="1.0" encoding="utf-8"?>
<sst xmlns="http://schemas.openxmlformats.org/spreadsheetml/2006/main" count="344" uniqueCount="198">
  <si>
    <t>Data ínicio</t>
  </si>
  <si>
    <t>Nome do Cliente</t>
  </si>
  <si>
    <t>Cód. Via</t>
  </si>
  <si>
    <t>Endereço</t>
  </si>
  <si>
    <t>Consultor</t>
  </si>
  <si>
    <t>Campanha</t>
  </si>
  <si>
    <t>Int. Franquia</t>
  </si>
  <si>
    <t>Pgto. Int</t>
  </si>
  <si>
    <t>Garantia</t>
  </si>
  <si>
    <t>Status</t>
  </si>
  <si>
    <t>Vistoria</t>
  </si>
  <si>
    <t>Laudo</t>
  </si>
  <si>
    <t>Contrato</t>
  </si>
  <si>
    <t>Tipo</t>
  </si>
  <si>
    <t>Observações</t>
  </si>
  <si>
    <t>Tempo</t>
  </si>
  <si>
    <t xml:space="preserve"> </t>
  </si>
  <si>
    <t xml:space="preserve">Total </t>
  </si>
  <si>
    <t>Cód. Vista</t>
  </si>
  <si>
    <t>Coretor</t>
  </si>
  <si>
    <t>Nº de Ag.s</t>
  </si>
  <si>
    <t>Obs.</t>
  </si>
  <si>
    <t>Locações</t>
  </si>
  <si>
    <t>Códigos</t>
  </si>
  <si>
    <t>Rose</t>
  </si>
  <si>
    <t>Zeli</t>
  </si>
  <si>
    <t>Pedro</t>
  </si>
  <si>
    <t>Total</t>
  </si>
  <si>
    <t>Int.</t>
  </si>
  <si>
    <t>Rejane P.</t>
  </si>
  <si>
    <t>Freitas</t>
  </si>
  <si>
    <t>Pgto. Ap</t>
  </si>
  <si>
    <t>Pgto. Agenciador</t>
  </si>
  <si>
    <t>Pillar</t>
  </si>
  <si>
    <t>R</t>
  </si>
  <si>
    <t>Total Marcos</t>
  </si>
  <si>
    <t>Paulinho</t>
  </si>
  <si>
    <t>Pedro Costa</t>
  </si>
  <si>
    <t>Pedro Costa*</t>
  </si>
  <si>
    <t>Rô Peres</t>
  </si>
  <si>
    <t>Assinatura</t>
  </si>
  <si>
    <t>Luci</t>
  </si>
  <si>
    <t>Valor aluguel</t>
  </si>
  <si>
    <t>Valor total (nota)</t>
  </si>
  <si>
    <t>Valor agenciador</t>
  </si>
  <si>
    <t>Ok</t>
  </si>
  <si>
    <t>Camp. Captção</t>
  </si>
  <si>
    <t>Pgto. Captação</t>
  </si>
  <si>
    <t>Camp. Sucesso</t>
  </si>
  <si>
    <t>Pâmela</t>
  </si>
  <si>
    <t>Michele</t>
  </si>
  <si>
    <t>Michele*</t>
  </si>
  <si>
    <t>Pâmela*</t>
  </si>
  <si>
    <t>NOTA AP</t>
  </si>
  <si>
    <t>VGL</t>
  </si>
  <si>
    <t>Agenciamento</t>
  </si>
  <si>
    <t>Valor Ag.</t>
  </si>
  <si>
    <t>Pgto. Ag.</t>
  </si>
  <si>
    <t>Sucesso Locação</t>
  </si>
  <si>
    <t>-</t>
  </si>
  <si>
    <t>Total faturamento</t>
  </si>
  <si>
    <t>NOTA PROP.</t>
  </si>
  <si>
    <t xml:space="preserve">NOTA AP </t>
  </si>
  <si>
    <t>Estoque Moinhos</t>
  </si>
  <si>
    <t>Qtd.</t>
  </si>
  <si>
    <t>Nome</t>
  </si>
  <si>
    <t>Contato</t>
  </si>
  <si>
    <t>CPF</t>
  </si>
  <si>
    <t>Dados bancários</t>
  </si>
  <si>
    <t>Imóvel(is)</t>
  </si>
  <si>
    <t>Valor</t>
  </si>
  <si>
    <t>Pgto.</t>
  </si>
  <si>
    <t>Agenciador</t>
  </si>
  <si>
    <t>Comissão (AG)</t>
  </si>
  <si>
    <t>Total Geral</t>
  </si>
  <si>
    <t>Ana</t>
  </si>
  <si>
    <t>Luis Gustavo</t>
  </si>
  <si>
    <t>Richard</t>
  </si>
  <si>
    <t>Vitor (11%)</t>
  </si>
  <si>
    <t>C</t>
  </si>
  <si>
    <t>Eduardo</t>
  </si>
  <si>
    <t>Eduardo Macan</t>
  </si>
  <si>
    <t>Eduardo Macan*</t>
  </si>
  <si>
    <t>VITOR PRADO HOFFMANN</t>
  </si>
  <si>
    <t>FIADOR</t>
  </si>
  <si>
    <t>Michele Ramos</t>
  </si>
  <si>
    <t>Cleiton</t>
  </si>
  <si>
    <t>CREDPAGO</t>
  </si>
  <si>
    <t>Locado</t>
  </si>
  <si>
    <t>AR - NOVA VERSÃO</t>
  </si>
  <si>
    <t>CORPORATE RS COMERCIAL</t>
  </si>
  <si>
    <t>FRANQUIA BELA VISTA ALUGUEIS</t>
  </si>
  <si>
    <t>RUA AZEVEDO SODRÉ 285 APTO 708 BOX 35 00-Torre única</t>
  </si>
  <si>
    <t>Julia</t>
  </si>
  <si>
    <t>Marcia</t>
  </si>
  <si>
    <t>Rua Rua São Manoel 1411 APTO 402 Box 19 00-Torre única</t>
  </si>
  <si>
    <t>Bruna</t>
  </si>
  <si>
    <t>RUA AZEVEDO SODRÉ 285 APTO 701  00-Torre única</t>
  </si>
  <si>
    <t>Fabricio</t>
  </si>
  <si>
    <t xml:space="preserve">Rua RUA VIGÁRIO JOSÉ INÁCIO 399 SALA 412  </t>
  </si>
  <si>
    <t>João Vitor</t>
  </si>
  <si>
    <t>RUA ÂNGELO CRIVELLARO 449 APTO 402  00-Torre única</t>
  </si>
  <si>
    <t>Guilherme</t>
  </si>
  <si>
    <t>RUA AZEVEDO SODRÉ 285 APTO 808  00-Torre única</t>
  </si>
  <si>
    <t>Gabriella</t>
  </si>
  <si>
    <t xml:space="preserve">RUA FELIPE NERI 366 SALA 402 BOX 3 </t>
  </si>
  <si>
    <t>Jordana</t>
  </si>
  <si>
    <t>AVENIDA PLÍNIO BRASIL MILANO 183 APTO 18  00-Torre única</t>
  </si>
  <si>
    <t>Tamires</t>
  </si>
  <si>
    <t>Pâmela Paixão</t>
  </si>
  <si>
    <t>Richard Gostinski</t>
  </si>
  <si>
    <t>Ag. Petrópolis</t>
  </si>
  <si>
    <t>81136198;</t>
  </si>
  <si>
    <t>81136640;</t>
  </si>
  <si>
    <t>Zeli Moreira</t>
  </si>
  <si>
    <t>81136794;</t>
  </si>
  <si>
    <t>81136667;</t>
  </si>
  <si>
    <t>Todos fora do perfil (sala comercial)</t>
  </si>
  <si>
    <t>768067;</t>
  </si>
  <si>
    <t>Cléo</t>
  </si>
  <si>
    <t>693908;</t>
  </si>
  <si>
    <t>775634;776191;776192;</t>
  </si>
  <si>
    <t>Gabrielle (secretaria)</t>
  </si>
  <si>
    <t>39 Considerados no perfil Auxi.</t>
  </si>
  <si>
    <t>Marcos</t>
  </si>
  <si>
    <t>Vitor</t>
  </si>
  <si>
    <t>Bruno</t>
  </si>
  <si>
    <t>Gabriele</t>
  </si>
  <si>
    <t>Prêmio/bonus</t>
  </si>
  <si>
    <t>férias</t>
  </si>
  <si>
    <t>13o.(INTEGRAL)</t>
  </si>
  <si>
    <t>fixo</t>
  </si>
  <si>
    <t>captação</t>
  </si>
  <si>
    <t>variável</t>
  </si>
  <si>
    <t>vistorias</t>
  </si>
  <si>
    <t>indica</t>
  </si>
  <si>
    <t>visitas</t>
  </si>
  <si>
    <t>ALUGADO POR OUTRA AGENCIA</t>
  </si>
  <si>
    <t>chaves</t>
  </si>
  <si>
    <t>outro</t>
  </si>
  <si>
    <t>Auxilio Transporte</t>
  </si>
  <si>
    <t>GESTÃO</t>
  </si>
  <si>
    <t>ok</t>
  </si>
  <si>
    <t>025.138.850-66</t>
  </si>
  <si>
    <t>819.786.500-00</t>
  </si>
  <si>
    <t>GESTÃO MV</t>
  </si>
  <si>
    <t xml:space="preserve">captação </t>
  </si>
  <si>
    <t>600.895.730-05</t>
  </si>
  <si>
    <t>Atendimento</t>
  </si>
  <si>
    <t>Agencia</t>
  </si>
  <si>
    <t>Conta Corrente</t>
  </si>
  <si>
    <t>Oper</t>
  </si>
  <si>
    <t>PIX</t>
  </si>
  <si>
    <t>TEV</t>
  </si>
  <si>
    <t>1591</t>
  </si>
  <si>
    <t>839789041-4</t>
  </si>
  <si>
    <t>1288</t>
  </si>
  <si>
    <t>029.222.830-97</t>
  </si>
  <si>
    <t>hoffmann.vp17@gmail.com</t>
  </si>
  <si>
    <t>salário</t>
  </si>
  <si>
    <t>600.617.610-60</t>
  </si>
  <si>
    <t>Rafael</t>
  </si>
  <si>
    <t>Contratos MV</t>
  </si>
  <si>
    <t>R$150,00 por contrato</t>
  </si>
  <si>
    <t>0440</t>
  </si>
  <si>
    <t>21636-5</t>
  </si>
  <si>
    <t>001</t>
  </si>
  <si>
    <t>038.603.980-16</t>
  </si>
  <si>
    <t>062.515.500-90</t>
  </si>
  <si>
    <t>Douglas</t>
  </si>
  <si>
    <t>Pereira e Freitas</t>
  </si>
  <si>
    <t>fazer para a JL ( já fiz o pagamento total)</t>
  </si>
  <si>
    <t>19.062.829/0001-47</t>
  </si>
  <si>
    <t>Carlos Freitas</t>
  </si>
  <si>
    <t>FALTA PAGAR</t>
  </si>
  <si>
    <t>Pro-Labore</t>
  </si>
  <si>
    <t>Administrativo-financeiro</t>
  </si>
  <si>
    <t>VA  mar26  22dias</t>
  </si>
  <si>
    <t>VT mar26 26 dias</t>
  </si>
  <si>
    <t>indica 775634;776191;776192;</t>
  </si>
  <si>
    <t>agê de venda</t>
  </si>
  <si>
    <t>variável (81136800;81136714;81137104;81136809;81137039;81137003;81137077)</t>
  </si>
  <si>
    <t>variável (81136198;81136406)</t>
  </si>
  <si>
    <t>Pamela fev26</t>
  </si>
  <si>
    <t>agenciamento 81136640;81136667</t>
  </si>
  <si>
    <t>indica 768067</t>
  </si>
  <si>
    <t>agê 81136794</t>
  </si>
  <si>
    <t>Cleo</t>
  </si>
  <si>
    <t>indica 693908</t>
  </si>
  <si>
    <t>indica 770902;769868;769856;769884;773800*</t>
  </si>
  <si>
    <t>agê 81136852;81136846;81137055</t>
  </si>
  <si>
    <t>diferença de VT fev26</t>
  </si>
  <si>
    <t>81136852;81136846</t>
  </si>
  <si>
    <t>05/03/2026??</t>
  </si>
  <si>
    <t>Relatório AP = 32</t>
  </si>
  <si>
    <t>Richard*</t>
  </si>
  <si>
    <t>770902;769868;769856;769884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</si>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</sst>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d/m/yyyy"/>
    <numFmt numFmtId="165" formatCode="&quot; R$ &quot;* #,##0.00\ ;&quot;-R$ &quot;* #,##0.00\ ;&quot; R$ &quot;* \-#\ ;@\ "/>
    <numFmt numFmtId="166" formatCode="&quot;R$ &quot;#,##0.00"/>
    <numFmt numFmtId="167" formatCode="[$R$-416]\ #,##0.00;[Red]\-[$R$-416]\ #,##0.00"/>
    <numFmt numFmtId="168" formatCode="[$-416]d/mmm"/>
    <numFmt numFmtId="169" formatCode="&quot;R$ &quot;#,##0.00;&quot;-R$ &quot;#,##0.00"/>
    <numFmt numFmtId="170" formatCode="&quot;R$&quot;\ #,##0.00"/>
  </numFmts>
  <fonts count="2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u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u/>
      <sz val="16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2"/>
      <color rgb="FF2A6099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charset val="1"/>
    </font>
    <font>
      <b/>
      <sz val="12"/>
      <color theme="4"/>
      <name val="Calibri"/>
      <family val="2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FF0000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DDD9C3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theme="2" tint="-9.9978637043366805E-2"/>
        <bgColor rgb="FFDEDCE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rgb="FFDEDCE6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EDCE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DEDCE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DEDCE6"/>
      </patternFill>
    </fill>
    <fill>
      <patternFill patternType="solid">
        <fgColor rgb="FFFFFF00"/>
        <bgColor rgb="FFFFFFCC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/>
    <xf numFmtId="165" fontId="11" fillId="0" borderId="0" applyBorder="0" applyProtection="0"/>
    <xf numFmtId="0" fontId="10" fillId="0" borderId="0" applyBorder="0" applyProtection="0"/>
    <xf numFmtId="43" fontId="11" fillId="0" borderId="0" applyFont="0" applyFill="0" applyBorder="0" applyAlignment="0" applyProtection="0"/>
  </cellStyleXfs>
  <cellXfs count="18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/>
    <xf numFmtId="0" fontId="0" fillId="2" borderId="0" xfId="0" applyFill="1"/>
    <xf numFmtId="0" fontId="0" fillId="3" borderId="0" xfId="0" applyFill="1"/>
    <xf numFmtId="0" fontId="3" fillId="3" borderId="5" xfId="0" applyFont="1" applyFill="1" applyBorder="1"/>
    <xf numFmtId="166" fontId="4" fillId="3" borderId="5" xfId="0" applyNumberFormat="1" applyFont="1" applyFill="1" applyBorder="1"/>
    <xf numFmtId="167" fontId="4" fillId="3" borderId="5" xfId="0" applyNumberFormat="1" applyFont="1" applyFill="1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7" fillId="3" borderId="0" xfId="0" applyFont="1" applyFill="1"/>
    <xf numFmtId="4" fontId="8" fillId="3" borderId="5" xfId="0" applyNumberFormat="1" applyFont="1" applyFill="1" applyBorder="1"/>
    <xf numFmtId="10" fontId="4" fillId="3" borderId="5" xfId="0" applyNumberFormat="1" applyFont="1" applyFill="1" applyBorder="1" applyAlignment="1">
      <alignment horizontal="center"/>
    </xf>
    <xf numFmtId="4" fontId="9" fillId="3" borderId="5" xfId="0" applyNumberFormat="1" applyFont="1" applyFill="1" applyBorder="1"/>
    <xf numFmtId="168" fontId="0" fillId="3" borderId="0" xfId="0" applyNumberFormat="1" applyFill="1"/>
    <xf numFmtId="0" fontId="10" fillId="0" borderId="0" xfId="2" applyBorder="1" applyProtection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7" fontId="0" fillId="0" borderId="0" xfId="0" applyNumberFormat="1"/>
    <xf numFmtId="0" fontId="0" fillId="0" borderId="0" xfId="2" applyFont="1" applyBorder="1" applyProtection="1"/>
    <xf numFmtId="0" fontId="0" fillId="0" borderId="5" xfId="0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" fillId="0" borderId="5" xfId="0" applyFont="1" applyBorder="1"/>
    <xf numFmtId="0" fontId="0" fillId="0" borderId="5" xfId="0" applyBorder="1" applyAlignment="1">
      <alignment horizontal="left"/>
    </xf>
    <xf numFmtId="167" fontId="0" fillId="0" borderId="5" xfId="0" applyNumberFormat="1" applyBorder="1"/>
    <xf numFmtId="0" fontId="12" fillId="0" borderId="0" xfId="0" applyFont="1"/>
    <xf numFmtId="0" fontId="0" fillId="0" borderId="5" xfId="0" applyBorder="1" applyAlignment="1">
      <alignment horizontal="center" vertical="top"/>
    </xf>
    <xf numFmtId="0" fontId="14" fillId="0" borderId="0" xfId="0" applyFont="1"/>
    <xf numFmtId="0" fontId="13" fillId="0" borderId="0" xfId="0" applyFont="1"/>
    <xf numFmtId="0" fontId="6" fillId="3" borderId="0" xfId="0" applyFont="1" applyFill="1" applyAlignment="1">
      <alignment horizontal="center"/>
    </xf>
    <xf numFmtId="167" fontId="0" fillId="0" borderId="5" xfId="0" applyNumberFormat="1" applyBorder="1" applyAlignment="1">
      <alignment horizontal="center"/>
    </xf>
    <xf numFmtId="0" fontId="13" fillId="0" borderId="0" xfId="0" applyFont="1" applyAlignment="1">
      <alignment wrapText="1"/>
    </xf>
    <xf numFmtId="0" fontId="14" fillId="3" borderId="0" xfId="0" applyFont="1" applyFill="1"/>
    <xf numFmtId="0" fontId="13" fillId="3" borderId="0" xfId="0" applyFont="1" applyFill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6" fillId="0" borderId="0" xfId="0" applyFont="1"/>
    <xf numFmtId="0" fontId="0" fillId="0" borderId="5" xfId="0" applyBorder="1" applyAlignment="1">
      <alignment horizontal="left" wrapText="1"/>
    </xf>
    <xf numFmtId="10" fontId="15" fillId="0" borderId="0" xfId="2" applyNumberFormat="1" applyFont="1" applyBorder="1" applyProtection="1"/>
    <xf numFmtId="0" fontId="0" fillId="0" borderId="5" xfId="0" applyBorder="1" applyAlignment="1">
      <alignment horizontal="left" vertical="center"/>
    </xf>
    <xf numFmtId="165" fontId="11" fillId="0" borderId="5" xfId="1" applyBorder="1"/>
    <xf numFmtId="169" fontId="12" fillId="0" borderId="0" xfId="1" applyNumberFormat="1" applyFont="1" applyBorder="1" applyProtection="1"/>
    <xf numFmtId="0" fontId="17" fillId="0" borderId="5" xfId="0" applyFont="1" applyBorder="1"/>
    <xf numFmtId="0" fontId="17" fillId="0" borderId="5" xfId="0" applyFont="1" applyBorder="1" applyAlignment="1">
      <alignment horizontal="center"/>
    </xf>
    <xf numFmtId="165" fontId="18" fillId="0" borderId="5" xfId="1" applyFont="1" applyBorder="1"/>
    <xf numFmtId="0" fontId="18" fillId="0" borderId="0" xfId="0" applyFont="1"/>
    <xf numFmtId="4" fontId="19" fillId="3" borderId="5" xfId="0" applyNumberFormat="1" applyFont="1" applyFill="1" applyBorder="1"/>
    <xf numFmtId="4" fontId="20" fillId="3" borderId="5" xfId="0" applyNumberFormat="1" applyFont="1" applyFill="1" applyBorder="1"/>
    <xf numFmtId="0" fontId="0" fillId="0" borderId="5" xfId="0" applyBorder="1" applyAlignment="1">
      <alignment vertical="center"/>
    </xf>
    <xf numFmtId="167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167" fontId="1" fillId="0" borderId="5" xfId="0" applyNumberFormat="1" applyFont="1" applyBorder="1" applyAlignment="1">
      <alignment horizontal="center"/>
    </xf>
    <xf numFmtId="165" fontId="13" fillId="0" borderId="0" xfId="1" applyFont="1" applyBorder="1" applyProtection="1"/>
    <xf numFmtId="167" fontId="14" fillId="0" borderId="0" xfId="0" applyNumberFormat="1" applyFont="1"/>
    <xf numFmtId="165" fontId="14" fillId="0" borderId="0" xfId="1" applyFont="1"/>
    <xf numFmtId="0" fontId="21" fillId="0" borderId="0" xfId="0" applyFont="1"/>
    <xf numFmtId="0" fontId="0" fillId="0" borderId="5" xfId="0" quotePrefix="1" applyBorder="1" applyAlignment="1">
      <alignment horizontal="left"/>
    </xf>
    <xf numFmtId="165" fontId="11" fillId="0" borderId="5" xfId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167" fontId="0" fillId="0" borderId="5" xfId="0" applyNumberFormat="1" applyBorder="1" applyAlignment="1">
      <alignment vertical="center"/>
    </xf>
    <xf numFmtId="165" fontId="11" fillId="0" borderId="5" xfId="1" applyBorder="1" applyAlignment="1">
      <alignment horizontal="center"/>
    </xf>
    <xf numFmtId="165" fontId="18" fillId="0" borderId="5" xfId="1" applyFont="1" applyBorder="1" applyAlignment="1">
      <alignment horizontal="left"/>
    </xf>
    <xf numFmtId="4" fontId="19" fillId="3" borderId="5" xfId="0" applyNumberFormat="1" applyFont="1" applyFill="1" applyBorder="1" applyAlignment="1">
      <alignment horizontal="center" vertical="center"/>
    </xf>
    <xf numFmtId="164" fontId="22" fillId="4" borderId="5" xfId="0" applyNumberFormat="1" applyFont="1" applyFill="1" applyBorder="1" applyAlignment="1">
      <alignment horizontal="center"/>
    </xf>
    <xf numFmtId="0" fontId="22" fillId="4" borderId="5" xfId="3" applyNumberFormat="1" applyFont="1" applyFill="1" applyBorder="1" applyAlignment="1">
      <alignment horizontal="center"/>
    </xf>
    <xf numFmtId="1" fontId="22" fillId="4" borderId="5" xfId="0" applyNumberFormat="1" applyFont="1" applyFill="1" applyBorder="1" applyAlignment="1">
      <alignment horizontal="center"/>
    </xf>
    <xf numFmtId="3" fontId="22" fillId="4" borderId="5" xfId="0" applyNumberFormat="1" applyFont="1" applyFill="1" applyBorder="1" applyAlignment="1">
      <alignment horizontal="left"/>
    </xf>
    <xf numFmtId="0" fontId="22" fillId="4" borderId="5" xfId="0" applyFont="1" applyFill="1" applyBorder="1" applyAlignment="1">
      <alignment horizontal="center"/>
    </xf>
    <xf numFmtId="166" fontId="21" fillId="4" borderId="5" xfId="0" applyNumberFormat="1" applyFont="1" applyFill="1" applyBorder="1" applyAlignment="1">
      <alignment horizontal="center"/>
    </xf>
    <xf numFmtId="167" fontId="22" fillId="4" borderId="5" xfId="0" applyNumberFormat="1" applyFont="1" applyFill="1" applyBorder="1" applyAlignment="1">
      <alignment horizontal="center"/>
    </xf>
    <xf numFmtId="9" fontId="22" fillId="4" borderId="5" xfId="0" applyNumberFormat="1" applyFont="1" applyFill="1" applyBorder="1" applyAlignment="1">
      <alignment horizontal="center"/>
    </xf>
    <xf numFmtId="167" fontId="21" fillId="4" borderId="5" xfId="0" applyNumberFormat="1" applyFont="1" applyFill="1" applyBorder="1" applyAlignment="1">
      <alignment horizontal="center"/>
    </xf>
    <xf numFmtId="168" fontId="22" fillId="4" borderId="5" xfId="0" applyNumberFormat="1" applyFont="1" applyFill="1" applyBorder="1" applyAlignment="1">
      <alignment horizontal="center"/>
    </xf>
    <xf numFmtId="0" fontId="22" fillId="4" borderId="0" xfId="0" applyFont="1" applyFill="1"/>
    <xf numFmtId="0" fontId="22" fillId="5" borderId="0" xfId="0" applyFont="1" applyFill="1"/>
    <xf numFmtId="164" fontId="22" fillId="6" borderId="5" xfId="0" applyNumberFormat="1" applyFont="1" applyFill="1" applyBorder="1" applyAlignment="1">
      <alignment horizontal="center"/>
    </xf>
    <xf numFmtId="0" fontId="22" fillId="6" borderId="5" xfId="3" applyNumberFormat="1" applyFont="1" applyFill="1" applyBorder="1" applyAlignment="1">
      <alignment horizontal="center"/>
    </xf>
    <xf numFmtId="1" fontId="22" fillId="6" borderId="5" xfId="0" applyNumberFormat="1" applyFont="1" applyFill="1" applyBorder="1" applyAlignment="1">
      <alignment horizontal="center"/>
    </xf>
    <xf numFmtId="3" fontId="22" fillId="6" borderId="5" xfId="0" applyNumberFormat="1" applyFont="1" applyFill="1" applyBorder="1" applyAlignment="1">
      <alignment horizontal="left"/>
    </xf>
    <xf numFmtId="0" fontId="22" fillId="6" borderId="5" xfId="0" applyFont="1" applyFill="1" applyBorder="1" applyAlignment="1">
      <alignment horizontal="center"/>
    </xf>
    <xf numFmtId="166" fontId="21" fillId="6" borderId="5" xfId="0" applyNumberFormat="1" applyFont="1" applyFill="1" applyBorder="1" applyAlignment="1">
      <alignment horizontal="center"/>
    </xf>
    <xf numFmtId="167" fontId="22" fillId="6" borderId="5" xfId="0" applyNumberFormat="1" applyFont="1" applyFill="1" applyBorder="1" applyAlignment="1">
      <alignment horizontal="center"/>
    </xf>
    <xf numFmtId="9" fontId="22" fillId="6" borderId="5" xfId="0" applyNumberFormat="1" applyFont="1" applyFill="1" applyBorder="1" applyAlignment="1">
      <alignment horizontal="center"/>
    </xf>
    <xf numFmtId="167" fontId="21" fillId="6" borderId="5" xfId="0" applyNumberFormat="1" applyFont="1" applyFill="1" applyBorder="1" applyAlignment="1">
      <alignment horizontal="center"/>
    </xf>
    <xf numFmtId="168" fontId="22" fillId="6" borderId="5" xfId="0" applyNumberFormat="1" applyFont="1" applyFill="1" applyBorder="1" applyAlignment="1">
      <alignment horizontal="center"/>
    </xf>
    <xf numFmtId="0" fontId="22" fillId="6" borderId="0" xfId="0" applyFont="1" applyFill="1"/>
    <xf numFmtId="0" fontId="22" fillId="7" borderId="0" xfId="0" applyFont="1" applyFill="1"/>
    <xf numFmtId="14" fontId="22" fillId="6" borderId="5" xfId="0" applyNumberFormat="1" applyFont="1" applyFill="1" applyBorder="1" applyAlignment="1">
      <alignment horizontal="center"/>
    </xf>
    <xf numFmtId="17" fontId="18" fillId="8" borderId="5" xfId="0" applyNumberFormat="1" applyFont="1" applyFill="1" applyBorder="1" applyAlignment="1">
      <alignment horizontal="center" vertical="center"/>
    </xf>
    <xf numFmtId="0" fontId="15" fillId="9" borderId="0" xfId="2" applyFont="1" applyFill="1"/>
    <xf numFmtId="0" fontId="13" fillId="9" borderId="0" xfId="0" applyFont="1" applyFill="1"/>
    <xf numFmtId="0" fontId="14" fillId="9" borderId="0" xfId="0" applyFont="1" applyFill="1"/>
    <xf numFmtId="169" fontId="0" fillId="9" borderId="0" xfId="1" applyNumberFormat="1" applyFont="1" applyFill="1" applyBorder="1" applyProtection="1"/>
    <xf numFmtId="0" fontId="0" fillId="9" borderId="0" xfId="0" applyFill="1"/>
    <xf numFmtId="0" fontId="18" fillId="8" borderId="5" xfId="0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center" vertical="center"/>
    </xf>
    <xf numFmtId="167" fontId="21" fillId="8" borderId="5" xfId="0" applyNumberFormat="1" applyFont="1" applyFill="1" applyBorder="1" applyAlignment="1">
      <alignment horizontal="center" vertical="center"/>
    </xf>
    <xf numFmtId="0" fontId="0" fillId="8" borderId="5" xfId="0" applyFill="1" applyBorder="1" applyAlignment="1">
      <alignment horizontal="left" vertical="center"/>
    </xf>
    <xf numFmtId="170" fontId="0" fillId="10" borderId="5" xfId="0" applyNumberFormat="1" applyFill="1" applyBorder="1" applyAlignment="1">
      <alignment horizontal="center" vertical="center"/>
    </xf>
    <xf numFmtId="170" fontId="13" fillId="10" borderId="5" xfId="0" applyNumberFormat="1" applyFont="1" applyFill="1" applyBorder="1" applyAlignment="1">
      <alignment horizontal="center" vertical="center"/>
    </xf>
    <xf numFmtId="170" fontId="0" fillId="10" borderId="5" xfId="0" applyNumberFormat="1" applyFill="1" applyBorder="1" applyAlignment="1">
      <alignment horizontal="center"/>
    </xf>
    <xf numFmtId="170" fontId="0" fillId="0" borderId="5" xfId="0" applyNumberFormat="1" applyBorder="1" applyAlignment="1">
      <alignment horizontal="center" vertical="center"/>
    </xf>
    <xf numFmtId="170" fontId="1" fillId="10" borderId="5" xfId="0" applyNumberFormat="1" applyFont="1" applyFill="1" applyBorder="1" applyAlignment="1">
      <alignment horizontal="center" vertical="center"/>
    </xf>
    <xf numFmtId="0" fontId="0" fillId="8" borderId="5" xfId="0" applyFill="1" applyBorder="1"/>
    <xf numFmtId="0" fontId="0" fillId="8" borderId="5" xfId="0" applyFill="1" applyBorder="1" applyAlignment="1">
      <alignment wrapText="1"/>
    </xf>
    <xf numFmtId="0" fontId="0" fillId="8" borderId="5" xfId="0" applyFill="1" applyBorder="1" applyAlignment="1">
      <alignment horizontal="left"/>
    </xf>
    <xf numFmtId="170" fontId="1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0" fontId="1" fillId="9" borderId="0" xfId="0" applyNumberFormat="1" applyFont="1" applyFill="1" applyAlignment="1">
      <alignment horizontal="center" vertical="center"/>
    </xf>
    <xf numFmtId="170" fontId="0" fillId="0" borderId="0" xfId="0" applyNumberFormat="1"/>
    <xf numFmtId="0" fontId="0" fillId="10" borderId="0" xfId="0" applyFill="1"/>
    <xf numFmtId="0" fontId="1" fillId="10" borderId="0" xfId="0" applyFont="1" applyFill="1"/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17" fontId="18" fillId="10" borderId="0" xfId="0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3" fontId="0" fillId="11" borderId="0" xfId="0" applyNumberFormat="1" applyFill="1" applyAlignment="1">
      <alignment horizontal="left"/>
    </xf>
    <xf numFmtId="0" fontId="17" fillId="10" borderId="0" xfId="0" applyFont="1" applyFill="1"/>
    <xf numFmtId="49" fontId="24" fillId="0" borderId="0" xfId="2" applyNumberFormat="1" applyFont="1" applyAlignment="1">
      <alignment horizontal="left"/>
    </xf>
    <xf numFmtId="170" fontId="0" fillId="10" borderId="0" xfId="0" applyNumberFormat="1" applyFill="1" applyAlignment="1">
      <alignment horizontal="center" vertical="center"/>
    </xf>
    <xf numFmtId="0" fontId="1" fillId="9" borderId="0" xfId="0" applyFont="1" applyFill="1"/>
    <xf numFmtId="170" fontId="1" fillId="0" borderId="0" xfId="0" applyNumberFormat="1" applyFont="1" applyAlignment="1">
      <alignment horizontal="center" vertical="center"/>
    </xf>
    <xf numFmtId="0" fontId="0" fillId="10" borderId="0" xfId="0" applyFill="1" applyAlignment="1">
      <alignment horizontal="left" wrapText="1"/>
    </xf>
    <xf numFmtId="0" fontId="0" fillId="10" borderId="0" xfId="0" applyFill="1" applyAlignment="1">
      <alignment vertical="top" wrapText="1"/>
    </xf>
    <xf numFmtId="0" fontId="0" fillId="10" borderId="0" xfId="0" applyFill="1" applyAlignment="1">
      <alignment horizontal="left"/>
    </xf>
    <xf numFmtId="170" fontId="0" fillId="0" borderId="0" xfId="0" applyNumberFormat="1" applyAlignment="1">
      <alignment horizontal="center" vertical="center"/>
    </xf>
    <xf numFmtId="167" fontId="21" fillId="0" borderId="0" xfId="0" applyNumberFormat="1" applyFont="1" applyAlignment="1">
      <alignment vertical="center"/>
    </xf>
    <xf numFmtId="0" fontId="18" fillId="10" borderId="0" xfId="0" applyFont="1" applyFill="1"/>
    <xf numFmtId="0" fontId="0" fillId="8" borderId="5" xfId="0" applyFill="1" applyBorder="1" applyAlignment="1">
      <alignment horizontal="left" vertical="center" wrapText="1"/>
    </xf>
    <xf numFmtId="0" fontId="0" fillId="10" borderId="0" xfId="0" applyFill="1" applyAlignment="1">
      <alignment wrapText="1"/>
    </xf>
    <xf numFmtId="0" fontId="0" fillId="8" borderId="6" xfId="0" applyFill="1" applyBorder="1"/>
    <xf numFmtId="0" fontId="0" fillId="8" borderId="6" xfId="0" applyFill="1" applyBorder="1" applyAlignment="1">
      <alignment wrapText="1"/>
    </xf>
    <xf numFmtId="49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0" borderId="0" xfId="2" applyAlignment="1">
      <alignment horizontal="center"/>
    </xf>
    <xf numFmtId="170" fontId="1" fillId="10" borderId="0" xfId="0" applyNumberFormat="1" applyFont="1" applyFill="1" applyAlignment="1">
      <alignment horizontal="center" vertical="center"/>
    </xf>
    <xf numFmtId="0" fontId="25" fillId="0" borderId="0" xfId="0" applyFont="1"/>
    <xf numFmtId="49" fontId="24" fillId="0" borderId="0" xfId="2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13" borderId="0" xfId="0" applyFont="1" applyFill="1"/>
    <xf numFmtId="170" fontId="0" fillId="14" borderId="5" xfId="0" applyNumberFormat="1" applyFill="1" applyBorder="1" applyAlignment="1">
      <alignment horizontal="center"/>
    </xf>
    <xf numFmtId="170" fontId="0" fillId="0" borderId="5" xfId="0" applyNumberFormat="1" applyBorder="1" applyAlignment="1">
      <alignment horizontal="center"/>
    </xf>
    <xf numFmtId="170" fontId="1" fillId="0" borderId="0" xfId="0" applyNumberFormat="1" applyFont="1"/>
    <xf numFmtId="0" fontId="1" fillId="17" borderId="0" xfId="0" applyFont="1" applyFill="1"/>
    <xf numFmtId="0" fontId="0" fillId="17" borderId="0" xfId="0" applyFill="1"/>
    <xf numFmtId="3" fontId="22" fillId="0" borderId="0" xfId="0" applyNumberFormat="1" applyFont="1" applyAlignment="1">
      <alignment horizontal="left"/>
    </xf>
    <xf numFmtId="167" fontId="0" fillId="18" borderId="5" xfId="0" applyNumberFormat="1" applyFill="1" applyBorder="1" applyAlignment="1">
      <alignment vertical="center"/>
    </xf>
    <xf numFmtId="165" fontId="21" fillId="18" borderId="0" xfId="1" applyFont="1" applyFill="1"/>
    <xf numFmtId="165" fontId="14" fillId="18" borderId="0" xfId="1" applyFont="1" applyFill="1"/>
    <xf numFmtId="170" fontId="0" fillId="18" borderId="5" xfId="0" applyNumberFormat="1" applyFill="1" applyBorder="1" applyAlignment="1">
      <alignment horizontal="center" vertical="center"/>
    </xf>
    <xf numFmtId="170" fontId="1" fillId="18" borderId="5" xfId="0" applyNumberFormat="1" applyFont="1" applyFill="1" applyBorder="1" applyAlignment="1">
      <alignment horizontal="center" vertical="center"/>
    </xf>
    <xf numFmtId="167" fontId="0" fillId="18" borderId="5" xfId="0" applyNumberFormat="1" applyFill="1" applyBorder="1" applyAlignment="1">
      <alignment horizontal="center" vertical="center"/>
    </xf>
    <xf numFmtId="167" fontId="0" fillId="18" borderId="5" xfId="0" applyNumberFormat="1" applyFill="1" applyBorder="1"/>
    <xf numFmtId="165" fontId="11" fillId="18" borderId="5" xfId="1" applyFill="1" applyBorder="1"/>
    <xf numFmtId="0" fontId="0" fillId="15" borderId="7" xfId="0" applyFill="1" applyBorder="1" applyAlignment="1">
      <alignment horizontal="center"/>
    </xf>
    <xf numFmtId="167" fontId="1" fillId="9" borderId="0" xfId="0" applyNumberFormat="1" applyFont="1" applyFill="1"/>
    <xf numFmtId="165" fontId="11" fillId="18" borderId="5" xfId="1" applyFill="1" applyBorder="1" applyAlignment="1">
      <alignment horizontal="center" vertical="center"/>
    </xf>
    <xf numFmtId="167" fontId="0" fillId="9" borderId="5" xfId="0" applyNumberFormat="1" applyFill="1" applyBorder="1"/>
    <xf numFmtId="0" fontId="0" fillId="17" borderId="5" xfId="0" applyFill="1" applyBorder="1" applyAlignment="1">
      <alignment horizontal="left"/>
    </xf>
    <xf numFmtId="1" fontId="22" fillId="19" borderId="5" xfId="0" applyNumberFormat="1" applyFont="1" applyFill="1" applyBorder="1" applyAlignment="1">
      <alignment horizontal="center"/>
    </xf>
    <xf numFmtId="14" fontId="21" fillId="6" borderId="5" xfId="0" applyNumberFormat="1" applyFont="1" applyFill="1" applyBorder="1" applyAlignment="1">
      <alignment horizontal="center"/>
    </xf>
    <xf numFmtId="14" fontId="21" fillId="4" borderId="5" xfId="0" applyNumberFormat="1" applyFont="1" applyFill="1" applyBorder="1" applyAlignment="1">
      <alignment horizontal="center"/>
    </xf>
    <xf numFmtId="0" fontId="17" fillId="17" borderId="5" xfId="0" applyFont="1" applyFill="1" applyBorder="1" applyAlignment="1">
      <alignment horizontal="left"/>
    </xf>
    <xf numFmtId="167" fontId="0" fillId="17" borderId="5" xfId="0" applyNumberFormat="1" applyFill="1" applyBorder="1" applyAlignment="1">
      <alignment horizontal="center" vertical="center"/>
    </xf>
    <xf numFmtId="165" fontId="11" fillId="17" borderId="5" xfId="1" applyFill="1" applyBorder="1"/>
    <xf numFmtId="14" fontId="0" fillId="0" borderId="5" xfId="0" applyNumberFormat="1" applyBorder="1" applyAlignment="1">
      <alignment horizontal="center"/>
    </xf>
    <xf numFmtId="14" fontId="17" fillId="0" borderId="5" xfId="0" applyNumberFormat="1" applyFont="1" applyBorder="1"/>
    <xf numFmtId="0" fontId="17" fillId="20" borderId="5" xfId="0" applyFont="1" applyFill="1" applyBorder="1" applyAlignment="1">
      <alignment horizontal="left"/>
    </xf>
    <xf numFmtId="0" fontId="0" fillId="20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1" fontId="22" fillId="22" borderId="5" xfId="0" applyNumberFormat="1" applyFont="1" applyFill="1" applyBorder="1" applyAlignment="1">
      <alignment horizontal="center"/>
    </xf>
    <xf numFmtId="0" fontId="26" fillId="0" borderId="0" xfId="0" applyFont="1"/>
    <xf numFmtId="166" fontId="4" fillId="23" borderId="5" xfId="0" applyNumberFormat="1" applyFont="1" applyFill="1" applyBorder="1"/>
    <xf numFmtId="167" fontId="0" fillId="17" borderId="5" xfId="0" applyNumberFormat="1" applyFill="1" applyBorder="1"/>
    <xf numFmtId="167" fontId="1" fillId="0" borderId="0" xfId="0" applyNumberFormat="1" applyFont="1"/>
    <xf numFmtId="43" fontId="0" fillId="0" borderId="0" xfId="0" applyNumberFormat="1"/>
    <xf numFmtId="167" fontId="0" fillId="12" borderId="8" xfId="0" applyNumberFormat="1" applyFill="1" applyBorder="1" applyAlignment="1">
      <alignment horizontal="center"/>
    </xf>
    <xf numFmtId="167" fontId="0" fillId="12" borderId="7" xfId="0" applyNumberForma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0" fillId="16" borderId="8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</cellXfs>
  <cellStyles count="4">
    <cellStyle name="Hiperlink" xfId="2" builtinId="8"/>
    <cellStyle name="Moeda" xfId="1" builtinId="4"/>
    <cellStyle name="Normal" xfId="0" builtinId="0"/>
    <cellStyle name="Vírgula" xfId="3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FCC"/>
      <rgbColor rgb="FFCCFFFF"/>
      <rgbColor rgb="FF660066"/>
      <rgbColor rgb="FFFF8080"/>
      <rgbColor rgb="FF0070C0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DDD9C3"/>
      <rgbColor rgb="FF3366FF"/>
      <rgbColor rgb="FF33CCCC"/>
      <rgbColor rgb="FF99CC00"/>
      <rgbColor rgb="FFFFCC00"/>
      <rgbColor rgb="FFFF9900"/>
      <rgbColor rgb="FFFF6600"/>
      <rgbColor rgb="FF2A60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offmann.vp1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Q141"/>
  <sheetViews>
    <sheetView tabSelected="1" topLeftCell="D1" zoomScale="90" zoomScaleNormal="90" workbookViewId="0">
      <selection activeCell="M19" sqref="M19"/>
    </sheetView>
  </sheetViews>
  <sheetFormatPr defaultColWidth="9.42578125" defaultRowHeight="15" x14ac:dyDescent="0.25"/>
  <cols>
    <col min="1" max="1" width="16.85546875" customWidth="1"/>
    <col min="2" max="2" width="20.28515625" customWidth="1"/>
    <col min="3" max="3" width="15.85546875" customWidth="1"/>
    <col min="4" max="4" width="13.7109375" customWidth="1"/>
    <col min="5" max="5" width="65.28515625" bestFit="1" customWidth="1"/>
    <col min="6" max="6" width="39.7109375" customWidth="1"/>
    <col min="7" max="7" width="13.7109375" style="1" customWidth="1"/>
    <col min="8" max="8" width="14.28515625" style="1" customWidth="1"/>
    <col min="9" max="9" width="15" style="1" bestFit="1" customWidth="1"/>
    <col min="10" max="10" width="17.140625" style="1" customWidth="1"/>
    <col min="11" max="11" width="15.85546875" style="1" customWidth="1"/>
    <col min="12" max="12" width="31" style="1" bestFit="1" customWidth="1"/>
    <col min="13" max="15" width="15.85546875" style="1" customWidth="1"/>
    <col min="16" max="16" width="18.42578125" customWidth="1"/>
    <col min="17" max="17" width="13" bestFit="1" customWidth="1"/>
    <col min="18" max="18" width="11.140625" customWidth="1"/>
    <col min="19" max="19" width="7.42578125" customWidth="1"/>
    <col min="20" max="20" width="15.42578125" customWidth="1"/>
    <col min="22" max="22" width="97.7109375" customWidth="1"/>
    <col min="23" max="23" width="18" customWidth="1"/>
    <col min="24" max="24" width="14.28515625" customWidth="1"/>
    <col min="1029" max="1030" width="11.5703125" customWidth="1"/>
  </cols>
  <sheetData>
    <row r="1" spans="1:69" ht="15" customHeight="1" x14ac:dyDescent="0.25">
      <c r="A1" s="2" t="s">
        <v>0</v>
      </c>
      <c r="B1" s="3" t="s">
        <v>1</v>
      </c>
      <c r="C1" s="3" t="s">
        <v>18</v>
      </c>
      <c r="D1" s="4" t="s">
        <v>2</v>
      </c>
      <c r="E1" s="4" t="s">
        <v>3</v>
      </c>
      <c r="F1" s="4" t="s">
        <v>4</v>
      </c>
      <c r="G1" s="4" t="s">
        <v>54</v>
      </c>
      <c r="H1" s="4" t="s">
        <v>5</v>
      </c>
      <c r="I1" s="4" t="s">
        <v>28</v>
      </c>
      <c r="J1" s="4" t="s">
        <v>6</v>
      </c>
      <c r="K1" s="4" t="s">
        <v>7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  <c r="W1" s="4" t="s">
        <v>40</v>
      </c>
      <c r="X1" s="5" t="s">
        <v>15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</row>
    <row r="2" spans="1:69" s="91" customFormat="1" ht="14.1" customHeight="1" x14ac:dyDescent="0.25">
      <c r="A2" s="80">
        <v>45971</v>
      </c>
      <c r="B2" s="80" t="s">
        <v>104</v>
      </c>
      <c r="C2" s="81">
        <v>708017</v>
      </c>
      <c r="D2" s="166">
        <v>81136198</v>
      </c>
      <c r="E2" s="83" t="s">
        <v>105</v>
      </c>
      <c r="F2" s="84" t="s">
        <v>83</v>
      </c>
      <c r="G2" s="85">
        <v>950</v>
      </c>
      <c r="H2" s="86">
        <f t="shared" ref="H2:H9" si="0">(G2*I2)*0.35</f>
        <v>332.5</v>
      </c>
      <c r="I2" s="87">
        <v>1</v>
      </c>
      <c r="J2" s="86">
        <f t="shared" ref="J2:J9" si="1">(I2*G2)*0.7</f>
        <v>665</v>
      </c>
      <c r="K2" s="167">
        <v>46057</v>
      </c>
      <c r="L2" s="88" t="s">
        <v>109</v>
      </c>
      <c r="M2" s="88">
        <f>G2*0.3</f>
        <v>285</v>
      </c>
      <c r="N2" s="167">
        <v>46057</v>
      </c>
      <c r="O2" s="88" t="s">
        <v>59</v>
      </c>
      <c r="P2" s="84" t="s">
        <v>84</v>
      </c>
      <c r="Q2" s="84" t="s">
        <v>88</v>
      </c>
      <c r="R2" s="89" t="s">
        <v>45</v>
      </c>
      <c r="S2" s="89"/>
      <c r="T2" s="89" t="s">
        <v>45</v>
      </c>
      <c r="U2" s="89" t="s">
        <v>79</v>
      </c>
      <c r="V2" s="84"/>
      <c r="W2" s="80">
        <v>46028</v>
      </c>
      <c r="X2" s="82">
        <f t="shared" ref="X2:X9" si="2">_xlfn.DAYS(W2,A2)</f>
        <v>57</v>
      </c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</row>
    <row r="3" spans="1:69" s="91" customFormat="1" ht="14.1" customHeight="1" x14ac:dyDescent="0.25">
      <c r="A3" s="80">
        <v>46029</v>
      </c>
      <c r="B3" s="80" t="s">
        <v>106</v>
      </c>
      <c r="C3" s="81">
        <v>763843</v>
      </c>
      <c r="D3" s="166">
        <v>81136777</v>
      </c>
      <c r="E3" s="83" t="s">
        <v>107</v>
      </c>
      <c r="F3" s="84" t="s">
        <v>83</v>
      </c>
      <c r="G3" s="85">
        <v>2200</v>
      </c>
      <c r="H3" s="86">
        <f t="shared" si="0"/>
        <v>770</v>
      </c>
      <c r="I3" s="87">
        <v>1</v>
      </c>
      <c r="J3" s="86">
        <f t="shared" si="1"/>
        <v>1540</v>
      </c>
      <c r="K3" s="167">
        <v>46057</v>
      </c>
      <c r="L3" s="88" t="s">
        <v>91</v>
      </c>
      <c r="M3" s="88" t="s">
        <v>59</v>
      </c>
      <c r="N3" s="167"/>
      <c r="O3" s="88" t="s">
        <v>59</v>
      </c>
      <c r="P3" s="84" t="s">
        <v>89</v>
      </c>
      <c r="Q3" s="84" t="s">
        <v>88</v>
      </c>
      <c r="R3" s="89" t="s">
        <v>45</v>
      </c>
      <c r="S3" s="89"/>
      <c r="T3" s="89" t="s">
        <v>45</v>
      </c>
      <c r="U3" s="89" t="s">
        <v>34</v>
      </c>
      <c r="V3" s="84"/>
      <c r="W3" s="80">
        <v>46035</v>
      </c>
      <c r="X3" s="82">
        <f t="shared" si="2"/>
        <v>6</v>
      </c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</row>
    <row r="4" spans="1:69" s="91" customFormat="1" ht="14.1" customHeight="1" x14ac:dyDescent="0.25">
      <c r="A4" s="80">
        <v>46031</v>
      </c>
      <c r="B4" s="80" t="s">
        <v>94</v>
      </c>
      <c r="C4" s="81">
        <v>496916</v>
      </c>
      <c r="D4" s="82">
        <v>81136800</v>
      </c>
      <c r="E4" s="83" t="s">
        <v>95</v>
      </c>
      <c r="F4" s="84" t="s">
        <v>83</v>
      </c>
      <c r="G4" s="85">
        <v>3200</v>
      </c>
      <c r="H4" s="86">
        <f t="shared" si="0"/>
        <v>1120</v>
      </c>
      <c r="I4" s="87">
        <v>1</v>
      </c>
      <c r="J4" s="86">
        <f t="shared" si="1"/>
        <v>2240</v>
      </c>
      <c r="K4" s="167"/>
      <c r="L4" s="88" t="s">
        <v>81</v>
      </c>
      <c r="M4" s="88">
        <f>G4*0.3</f>
        <v>960</v>
      </c>
      <c r="N4" s="167"/>
      <c r="O4" s="88">
        <v>100</v>
      </c>
      <c r="P4" s="84" t="s">
        <v>89</v>
      </c>
      <c r="Q4" s="84" t="s">
        <v>88</v>
      </c>
      <c r="R4" s="89" t="s">
        <v>45</v>
      </c>
      <c r="S4" s="89"/>
      <c r="T4" s="89" t="s">
        <v>45</v>
      </c>
      <c r="U4" s="89" t="s">
        <v>34</v>
      </c>
      <c r="V4" s="84"/>
      <c r="W4" s="80">
        <v>46038</v>
      </c>
      <c r="X4" s="82">
        <f t="shared" si="2"/>
        <v>7</v>
      </c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</row>
    <row r="5" spans="1:69" s="91" customFormat="1" ht="14.1" customHeight="1" x14ac:dyDescent="0.25">
      <c r="A5" s="80">
        <v>46035</v>
      </c>
      <c r="B5" s="80" t="s">
        <v>96</v>
      </c>
      <c r="C5" s="81">
        <v>769856</v>
      </c>
      <c r="D5" s="166">
        <v>81136852</v>
      </c>
      <c r="E5" s="83" t="s">
        <v>97</v>
      </c>
      <c r="F5" s="84" t="s">
        <v>83</v>
      </c>
      <c r="G5" s="85">
        <v>6000</v>
      </c>
      <c r="H5" s="86">
        <f t="shared" si="0"/>
        <v>2100</v>
      </c>
      <c r="I5" s="87">
        <v>1</v>
      </c>
      <c r="J5" s="86">
        <f t="shared" si="1"/>
        <v>4200</v>
      </c>
      <c r="K5" s="167">
        <v>46057</v>
      </c>
      <c r="L5" s="88" t="s">
        <v>110</v>
      </c>
      <c r="M5" s="88">
        <f>G5*0.3</f>
        <v>1800</v>
      </c>
      <c r="N5" s="167">
        <v>46057</v>
      </c>
      <c r="O5" s="88">
        <v>100</v>
      </c>
      <c r="P5" s="84" t="s">
        <v>89</v>
      </c>
      <c r="Q5" s="84" t="s">
        <v>88</v>
      </c>
      <c r="R5" s="89" t="s">
        <v>45</v>
      </c>
      <c r="S5" s="89"/>
      <c r="T5" s="89" t="s">
        <v>45</v>
      </c>
      <c r="U5" s="89" t="s">
        <v>34</v>
      </c>
      <c r="V5" s="84"/>
      <c r="W5" s="80">
        <v>46038</v>
      </c>
      <c r="X5" s="82">
        <f t="shared" si="2"/>
        <v>3</v>
      </c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</row>
    <row r="6" spans="1:69" s="91" customFormat="1" ht="14.1" customHeight="1" x14ac:dyDescent="0.25">
      <c r="A6" s="80">
        <v>46035</v>
      </c>
      <c r="B6" s="80" t="s">
        <v>102</v>
      </c>
      <c r="C6" s="81">
        <v>769884</v>
      </c>
      <c r="D6" s="166">
        <v>81136846</v>
      </c>
      <c r="E6" s="83" t="s">
        <v>103</v>
      </c>
      <c r="F6" s="84" t="s">
        <v>83</v>
      </c>
      <c r="G6" s="85">
        <v>4100</v>
      </c>
      <c r="H6" s="86">
        <f t="shared" si="0"/>
        <v>1435</v>
      </c>
      <c r="I6" s="87">
        <v>1</v>
      </c>
      <c r="J6" s="86">
        <f t="shared" si="1"/>
        <v>2870</v>
      </c>
      <c r="K6" s="167">
        <v>46057</v>
      </c>
      <c r="L6" s="88" t="s">
        <v>110</v>
      </c>
      <c r="M6" s="88">
        <f>G6*0.3</f>
        <v>1230</v>
      </c>
      <c r="N6" s="167">
        <v>46057</v>
      </c>
      <c r="O6" s="88">
        <v>100</v>
      </c>
      <c r="P6" s="84" t="s">
        <v>89</v>
      </c>
      <c r="Q6" s="84" t="s">
        <v>88</v>
      </c>
      <c r="R6" s="89" t="s">
        <v>45</v>
      </c>
      <c r="S6" s="89"/>
      <c r="T6" s="89" t="s">
        <v>45</v>
      </c>
      <c r="U6" s="89" t="s">
        <v>34</v>
      </c>
      <c r="V6" s="84"/>
      <c r="W6" s="80">
        <v>46038</v>
      </c>
      <c r="X6" s="82">
        <f t="shared" si="2"/>
        <v>3</v>
      </c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</row>
    <row r="7" spans="1:69" s="91" customFormat="1" ht="14.1" customHeight="1" x14ac:dyDescent="0.25">
      <c r="A7" s="92">
        <v>46046</v>
      </c>
      <c r="B7" s="80" t="s">
        <v>93</v>
      </c>
      <c r="C7" s="81">
        <v>769868</v>
      </c>
      <c r="D7" s="177">
        <v>81137055</v>
      </c>
      <c r="E7" s="83" t="s">
        <v>92</v>
      </c>
      <c r="F7" s="84" t="s">
        <v>83</v>
      </c>
      <c r="G7" s="85">
        <v>4500</v>
      </c>
      <c r="H7" s="86">
        <f t="shared" si="0"/>
        <v>1575</v>
      </c>
      <c r="I7" s="87">
        <v>1</v>
      </c>
      <c r="J7" s="86">
        <f t="shared" si="1"/>
        <v>3150</v>
      </c>
      <c r="K7" s="167" t="s">
        <v>193</v>
      </c>
      <c r="L7" s="88" t="s">
        <v>110</v>
      </c>
      <c r="M7" s="88">
        <f>G7*0.3</f>
        <v>1350</v>
      </c>
      <c r="N7" s="167" t="s">
        <v>193</v>
      </c>
      <c r="O7" s="88">
        <v>100</v>
      </c>
      <c r="P7" s="84" t="s">
        <v>89</v>
      </c>
      <c r="Q7" s="84" t="s">
        <v>88</v>
      </c>
      <c r="R7" s="89" t="s">
        <v>45</v>
      </c>
      <c r="S7" s="89"/>
      <c r="T7" s="89" t="s">
        <v>45</v>
      </c>
      <c r="U7" s="89" t="s">
        <v>34</v>
      </c>
      <c r="V7" s="84"/>
      <c r="W7" s="92">
        <v>46052</v>
      </c>
      <c r="X7" s="82">
        <f t="shared" si="2"/>
        <v>6</v>
      </c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</row>
    <row r="8" spans="1:69" s="91" customFormat="1" ht="14.1" customHeight="1" x14ac:dyDescent="0.25">
      <c r="A8" s="92">
        <v>46048</v>
      </c>
      <c r="B8" s="80" t="s">
        <v>98</v>
      </c>
      <c r="C8" s="81">
        <v>767398</v>
      </c>
      <c r="D8" s="82">
        <v>81137073</v>
      </c>
      <c r="E8" s="83" t="s">
        <v>99</v>
      </c>
      <c r="F8" s="84" t="s">
        <v>83</v>
      </c>
      <c r="G8" s="85">
        <v>900</v>
      </c>
      <c r="H8" s="86">
        <f t="shared" si="0"/>
        <v>315</v>
      </c>
      <c r="I8" s="87">
        <v>1</v>
      </c>
      <c r="J8" s="86">
        <f t="shared" si="1"/>
        <v>630</v>
      </c>
      <c r="K8" s="167"/>
      <c r="L8" s="88" t="s">
        <v>90</v>
      </c>
      <c r="M8" s="88" t="s">
        <v>59</v>
      </c>
      <c r="N8" s="167"/>
      <c r="O8" s="88" t="s">
        <v>59</v>
      </c>
      <c r="P8" s="84" t="s">
        <v>87</v>
      </c>
      <c r="Q8" s="84" t="s">
        <v>88</v>
      </c>
      <c r="R8" s="89" t="s">
        <v>45</v>
      </c>
      <c r="S8" s="89"/>
      <c r="T8" s="89" t="s">
        <v>45</v>
      </c>
      <c r="U8" s="89" t="s">
        <v>79</v>
      </c>
      <c r="V8" s="84"/>
      <c r="W8" s="92">
        <v>46052</v>
      </c>
      <c r="X8" s="82">
        <f t="shared" si="2"/>
        <v>4</v>
      </c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</row>
    <row r="9" spans="1:69" s="91" customFormat="1" ht="14.1" customHeight="1" x14ac:dyDescent="0.25">
      <c r="A9" s="80">
        <v>46053</v>
      </c>
      <c r="B9" s="80" t="s">
        <v>100</v>
      </c>
      <c r="C9" s="81">
        <v>493902</v>
      </c>
      <c r="D9" s="177">
        <v>81131537</v>
      </c>
      <c r="E9" s="83" t="s">
        <v>101</v>
      </c>
      <c r="F9" s="84" t="s">
        <v>83</v>
      </c>
      <c r="G9" s="85">
        <v>1900</v>
      </c>
      <c r="H9" s="86">
        <f t="shared" si="0"/>
        <v>665</v>
      </c>
      <c r="I9" s="87">
        <v>1</v>
      </c>
      <c r="J9" s="86">
        <f t="shared" si="1"/>
        <v>1330</v>
      </c>
      <c r="K9" s="167" t="s">
        <v>193</v>
      </c>
      <c r="L9" s="88" t="s">
        <v>111</v>
      </c>
      <c r="M9" s="88" t="s">
        <v>59</v>
      </c>
      <c r="N9" s="167"/>
      <c r="O9" s="88" t="s">
        <v>59</v>
      </c>
      <c r="P9" s="84" t="s">
        <v>89</v>
      </c>
      <c r="Q9" s="84" t="s">
        <v>88</v>
      </c>
      <c r="R9" s="89" t="s">
        <v>45</v>
      </c>
      <c r="S9" s="89"/>
      <c r="T9" s="89" t="s">
        <v>45</v>
      </c>
      <c r="U9" s="89" t="s">
        <v>34</v>
      </c>
      <c r="V9" s="84"/>
      <c r="W9" s="80">
        <v>46057</v>
      </c>
      <c r="X9" s="82">
        <f t="shared" si="2"/>
        <v>4</v>
      </c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</row>
    <row r="10" spans="1:69" s="79" customFormat="1" ht="14.1" customHeight="1" x14ac:dyDescent="0.25">
      <c r="A10" s="68"/>
      <c r="B10" s="68"/>
      <c r="C10" s="69"/>
      <c r="D10" s="70"/>
      <c r="E10" s="71"/>
      <c r="F10" s="72"/>
      <c r="G10" s="73"/>
      <c r="H10" s="74"/>
      <c r="I10" s="75"/>
      <c r="J10" s="74"/>
      <c r="K10" s="168"/>
      <c r="L10" s="76"/>
      <c r="M10" s="76"/>
      <c r="N10" s="168"/>
      <c r="O10" s="76"/>
      <c r="P10" s="72"/>
      <c r="Q10" s="72"/>
      <c r="R10" s="77"/>
      <c r="S10" s="77"/>
      <c r="T10" s="77"/>
      <c r="U10" s="77"/>
      <c r="V10" s="72"/>
      <c r="W10" s="68"/>
      <c r="X10" s="70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</row>
    <row r="11" spans="1:69" s="79" customFormat="1" ht="14.1" customHeight="1" x14ac:dyDescent="0.25">
      <c r="A11" s="68"/>
      <c r="B11" s="68"/>
      <c r="C11" s="69"/>
      <c r="D11" s="70"/>
      <c r="E11" s="71"/>
      <c r="F11" s="72"/>
      <c r="G11" s="73"/>
      <c r="H11" s="74"/>
      <c r="I11" s="75"/>
      <c r="J11" s="74"/>
      <c r="K11" s="168"/>
      <c r="L11" s="76"/>
      <c r="M11" s="76"/>
      <c r="N11" s="168"/>
      <c r="O11" s="76"/>
      <c r="P11" s="72"/>
      <c r="Q11" s="72"/>
      <c r="R11" s="77"/>
      <c r="S11" s="77"/>
      <c r="T11" s="77"/>
      <c r="U11" s="77"/>
      <c r="V11" s="72"/>
      <c r="W11" s="68"/>
      <c r="X11" s="72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</row>
    <row r="13" spans="1:69" ht="15.75" x14ac:dyDescent="0.25">
      <c r="A13" s="7"/>
      <c r="B13" s="7"/>
      <c r="C13" s="7"/>
      <c r="D13" s="7"/>
      <c r="E13" s="7"/>
      <c r="F13" s="8" t="s">
        <v>17</v>
      </c>
      <c r="G13" s="9">
        <f>SUBTOTAL(9,G2:G11)</f>
        <v>23750</v>
      </c>
      <c r="H13" s="179">
        <f>SUBTOTAL(9,H2:H11)</f>
        <v>8312.5</v>
      </c>
      <c r="I13" s="10"/>
      <c r="J13" s="10">
        <f>SUBTOTAL(9,J2:J11)</f>
        <v>16625</v>
      </c>
      <c r="K13" s="10"/>
      <c r="L13" s="10"/>
      <c r="M13" s="10">
        <f>SUBTOTAL(9,M2:M11)</f>
        <v>5625</v>
      </c>
      <c r="N13" s="10"/>
      <c r="O13" s="10">
        <f>SUBTOTAL(9,O2:O11)</f>
        <v>400</v>
      </c>
      <c r="P13" s="10" t="s">
        <v>60</v>
      </c>
      <c r="Q13" s="7"/>
      <c r="R13" s="7"/>
      <c r="S13" s="7"/>
      <c r="T13" s="7"/>
      <c r="U13" s="7"/>
      <c r="V13" s="7"/>
      <c r="W13" s="11"/>
      <c r="X13" s="12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</row>
    <row r="14" spans="1:69" ht="18" customHeight="1" x14ac:dyDescent="0.35">
      <c r="A14" s="185"/>
      <c r="B14" s="185"/>
      <c r="C14" s="34"/>
      <c r="D14" s="13"/>
      <c r="E14" s="13"/>
      <c r="F14" s="7"/>
      <c r="G14" s="14"/>
      <c r="H14" s="15" t="s">
        <v>53</v>
      </c>
      <c r="I14" s="15"/>
      <c r="J14" s="15" t="s">
        <v>61</v>
      </c>
      <c r="K14" s="16"/>
      <c r="L14" s="16"/>
      <c r="M14" s="15" t="s">
        <v>61</v>
      </c>
      <c r="N14" s="51"/>
      <c r="O14" s="67" t="s">
        <v>62</v>
      </c>
      <c r="P14" s="52">
        <f>SUM(M13,H13,J13,O13)</f>
        <v>30962.5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</row>
    <row r="15" spans="1:69" x14ac:dyDescent="0.25">
      <c r="A15" s="7"/>
      <c r="B15" s="7"/>
      <c r="C15" s="7"/>
      <c r="D15" s="38"/>
      <c r="E15" s="38"/>
      <c r="F15" s="38"/>
      <c r="G15" s="37"/>
      <c r="H15" s="37"/>
      <c r="I15" s="37"/>
      <c r="J15" s="37"/>
      <c r="K15" s="37"/>
      <c r="L15" s="37"/>
      <c r="M15" s="37"/>
      <c r="N15" s="37"/>
      <c r="O15" s="37"/>
      <c r="P15" s="38"/>
      <c r="Q15" s="7"/>
      <c r="R15" s="17"/>
      <c r="S15" s="17"/>
      <c r="T15" s="17"/>
      <c r="U15" s="1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</row>
    <row r="16" spans="1:69" x14ac:dyDescent="0.25">
      <c r="D16" s="33"/>
      <c r="E16" s="33"/>
      <c r="F16" s="33"/>
      <c r="G16" s="32"/>
      <c r="H16" s="33"/>
      <c r="I16" s="33"/>
      <c r="J16" s="37"/>
      <c r="K16" s="37"/>
      <c r="L16" s="37"/>
      <c r="M16" s="37"/>
      <c r="N16" s="37"/>
      <c r="O16" s="37"/>
      <c r="P16" s="33"/>
      <c r="Q16" s="46"/>
      <c r="R16" s="30"/>
      <c r="V16" t="s">
        <v>16</v>
      </c>
    </row>
    <row r="17" spans="3:18" x14ac:dyDescent="0.25">
      <c r="D17" s="33"/>
      <c r="E17" s="57"/>
      <c r="F17" s="60" t="s">
        <v>75</v>
      </c>
      <c r="G17" s="154">
        <f>P14*0.05</f>
        <v>1548.125</v>
      </c>
      <c r="H17" s="33"/>
      <c r="I17" s="33"/>
      <c r="J17" s="58" t="s">
        <v>35</v>
      </c>
      <c r="K17" s="155">
        <f>P14*0.05</f>
        <v>1548.125</v>
      </c>
      <c r="L17" s="59"/>
      <c r="M17" s="59"/>
      <c r="N17" s="59"/>
      <c r="O17" s="59"/>
      <c r="P17" s="33" t="s">
        <v>16</v>
      </c>
      <c r="Q17" s="30"/>
      <c r="R17" s="30"/>
    </row>
    <row r="18" spans="3:18" ht="17.25" customHeight="1" x14ac:dyDescent="0.25">
      <c r="D18" s="33"/>
      <c r="E18" s="43"/>
      <c r="F18" s="60"/>
      <c r="G18" s="60"/>
      <c r="H18" s="33"/>
      <c r="I18" s="33"/>
      <c r="J18" s="58"/>
      <c r="K18" s="59"/>
      <c r="L18" s="59"/>
      <c r="M18" s="59"/>
      <c r="N18" s="59"/>
      <c r="O18" s="59"/>
      <c r="P18" s="33"/>
      <c r="Q18" s="30"/>
      <c r="R18" s="30"/>
    </row>
    <row r="19" spans="3:18" x14ac:dyDescent="0.25">
      <c r="C19" t="s">
        <v>16</v>
      </c>
      <c r="D19" s="33"/>
      <c r="E19" s="36"/>
      <c r="F19" s="60" t="s">
        <v>50</v>
      </c>
      <c r="G19" s="154">
        <f>P14*0.07</f>
        <v>2167.375</v>
      </c>
      <c r="H19" s="33"/>
      <c r="I19" s="33"/>
      <c r="J19" s="58"/>
      <c r="K19" s="58"/>
      <c r="L19" s="58"/>
      <c r="M19" s="58"/>
      <c r="N19" s="58"/>
      <c r="O19" s="58"/>
      <c r="P19" s="33"/>
      <c r="Q19" s="30"/>
      <c r="R19" s="30"/>
    </row>
    <row r="20" spans="3:18" x14ac:dyDescent="0.25">
      <c r="D20" s="33"/>
      <c r="E20" s="33"/>
      <c r="F20" s="33"/>
      <c r="G20" s="32"/>
      <c r="H20" s="33"/>
      <c r="I20" s="33"/>
      <c r="J20" s="58" t="s">
        <v>78</v>
      </c>
      <c r="K20" s="155">
        <f>23750*0.11</f>
        <v>2612.5</v>
      </c>
      <c r="L20" s="59"/>
      <c r="M20" s="59"/>
      <c r="N20" s="59"/>
      <c r="O20" s="59"/>
      <c r="P20" s="33"/>
      <c r="Q20" s="46"/>
      <c r="R20" s="30"/>
    </row>
    <row r="21" spans="3:18" x14ac:dyDescent="0.25">
      <c r="C21" s="30"/>
      <c r="D21" s="33"/>
      <c r="E21" s="33"/>
      <c r="F21" s="33"/>
      <c r="G21" s="33"/>
      <c r="H21" s="33"/>
      <c r="I21" s="33"/>
      <c r="J21" s="32"/>
      <c r="K21" s="59"/>
      <c r="L21" s="59"/>
      <c r="M21" s="59"/>
      <c r="N21" s="59"/>
      <c r="O21" s="59"/>
      <c r="P21" s="33"/>
      <c r="Q21" s="46"/>
      <c r="R21" s="30"/>
    </row>
    <row r="22" spans="3:18" x14ac:dyDescent="0.25">
      <c r="C22" s="30">
        <v>300</v>
      </c>
      <c r="D22" s="39"/>
      <c r="E22" s="33"/>
      <c r="F22" s="33"/>
      <c r="G22" s="33"/>
      <c r="H22" s="33"/>
      <c r="I22" s="33"/>
      <c r="J22" s="59"/>
      <c r="K22" s="59"/>
      <c r="L22" s="59"/>
      <c r="M22" s="59"/>
      <c r="N22" s="59"/>
      <c r="O22" s="59"/>
      <c r="P22" s="33"/>
      <c r="Q22" s="46"/>
      <c r="R22" s="30"/>
    </row>
    <row r="23" spans="3:18" x14ac:dyDescent="0.25">
      <c r="C23" s="30"/>
      <c r="D23" s="39"/>
      <c r="E23" s="33"/>
      <c r="F23" s="33"/>
      <c r="G23" s="33"/>
      <c r="H23" s="33"/>
      <c r="I23" s="33"/>
      <c r="J23" s="32" t="s">
        <v>108</v>
      </c>
      <c r="K23" s="155">
        <f>23750*0.02</f>
        <v>475</v>
      </c>
      <c r="L23" s="59"/>
      <c r="M23" s="59"/>
      <c r="N23" s="59"/>
      <c r="O23" s="59"/>
      <c r="P23" s="33"/>
      <c r="Q23" s="46"/>
      <c r="R23" s="30"/>
    </row>
    <row r="24" spans="3:18" x14ac:dyDescent="0.25">
      <c r="C24" s="30"/>
      <c r="D24" s="39"/>
      <c r="E24" s="33"/>
      <c r="F24" s="33"/>
      <c r="G24" s="33"/>
      <c r="H24" s="33"/>
      <c r="I24" s="33"/>
      <c r="J24" s="58"/>
      <c r="K24" s="59"/>
      <c r="L24" s="59"/>
      <c r="M24" s="59"/>
      <c r="N24" s="59"/>
      <c r="O24" s="59"/>
      <c r="P24" s="33"/>
      <c r="Q24" s="46"/>
      <c r="R24" s="30"/>
    </row>
    <row r="25" spans="3:18" x14ac:dyDescent="0.25">
      <c r="C25" s="30"/>
      <c r="D25" s="39"/>
      <c r="E25" s="33"/>
      <c r="F25" s="33"/>
      <c r="G25" s="33"/>
      <c r="H25" s="33"/>
      <c r="I25" s="33"/>
      <c r="J25" s="32"/>
      <c r="K25" s="59"/>
      <c r="L25" s="59"/>
      <c r="M25" s="59"/>
      <c r="N25" s="59"/>
      <c r="O25" s="59"/>
      <c r="P25" s="33"/>
      <c r="Q25" s="30"/>
      <c r="R25" s="30"/>
    </row>
    <row r="26" spans="3:18" x14ac:dyDescent="0.25">
      <c r="C26" s="30"/>
      <c r="D26" s="39"/>
      <c r="E26" s="93"/>
      <c r="F26" s="94"/>
      <c r="G26" s="95"/>
      <c r="H26" s="96"/>
      <c r="I26" s="95"/>
      <c r="J26" s="97"/>
      <c r="K26" s="98"/>
      <c r="L26" s="98"/>
      <c r="M26" s="98"/>
      <c r="N26" s="98"/>
      <c r="O26" s="98"/>
      <c r="P26" s="33"/>
      <c r="Q26" s="30"/>
    </row>
    <row r="27" spans="3:18" x14ac:dyDescent="0.25">
      <c r="C27" s="30"/>
      <c r="D27" s="40"/>
      <c r="E27" s="93">
        <v>46054</v>
      </c>
      <c r="F27" s="99" t="s">
        <v>75</v>
      </c>
      <c r="G27" s="100" t="s">
        <v>50</v>
      </c>
      <c r="H27" s="100" t="s">
        <v>124</v>
      </c>
      <c r="I27" s="101" t="s">
        <v>49</v>
      </c>
      <c r="J27" s="99" t="s">
        <v>125</v>
      </c>
      <c r="K27" s="99" t="s">
        <v>126</v>
      </c>
      <c r="L27" s="99" t="s">
        <v>80</v>
      </c>
      <c r="M27" s="99" t="s">
        <v>127</v>
      </c>
      <c r="N27" s="100" t="s">
        <v>108</v>
      </c>
      <c r="O27" s="100" t="s">
        <v>161</v>
      </c>
      <c r="P27" s="32"/>
    </row>
    <row r="28" spans="3:18" x14ac:dyDescent="0.25">
      <c r="C28" s="30"/>
      <c r="D28" s="40"/>
      <c r="E28" s="102" t="s">
        <v>128</v>
      </c>
      <c r="F28" s="103"/>
      <c r="G28" s="104"/>
      <c r="H28" s="104"/>
      <c r="I28" s="103"/>
      <c r="J28" s="103"/>
      <c r="K28" s="105"/>
      <c r="L28" s="105"/>
      <c r="M28" s="103"/>
      <c r="N28" s="106"/>
      <c r="P28" s="41"/>
    </row>
    <row r="29" spans="3:18" x14ac:dyDescent="0.25">
      <c r="C29" s="30"/>
      <c r="D29" s="40"/>
      <c r="E29" s="102" t="s">
        <v>129</v>
      </c>
      <c r="F29" s="103"/>
      <c r="G29" s="103"/>
      <c r="H29" s="104"/>
      <c r="I29" s="103"/>
      <c r="J29" s="103"/>
      <c r="K29" s="105"/>
      <c r="L29" s="103"/>
      <c r="M29" s="103"/>
      <c r="N29" s="103"/>
      <c r="P29" s="41"/>
    </row>
    <row r="30" spans="3:18" x14ac:dyDescent="0.25">
      <c r="C30" s="30"/>
      <c r="D30" s="33"/>
      <c r="E30" s="102" t="s">
        <v>130</v>
      </c>
      <c r="F30" s="103"/>
      <c r="G30" s="103"/>
      <c r="H30" s="107"/>
      <c r="I30" s="103"/>
      <c r="J30" s="103"/>
      <c r="K30" s="107"/>
      <c r="L30" s="103"/>
      <c r="M30" s="103"/>
      <c r="N30" s="103"/>
      <c r="P30" s="41"/>
    </row>
    <row r="31" spans="3:18" x14ac:dyDescent="0.25">
      <c r="C31" s="30"/>
      <c r="D31" s="33"/>
      <c r="E31" s="108" t="s">
        <v>131</v>
      </c>
      <c r="F31" s="103"/>
      <c r="G31" s="103"/>
      <c r="H31" s="107"/>
      <c r="I31" s="103"/>
      <c r="J31" s="103">
        <v>1647.26</v>
      </c>
      <c r="K31" s="106"/>
      <c r="L31" s="103">
        <v>1647.26</v>
      </c>
      <c r="M31" s="103">
        <v>1647.26</v>
      </c>
      <c r="N31" s="103">
        <v>1647.26</v>
      </c>
      <c r="P31" s="41"/>
    </row>
    <row r="32" spans="3:18" x14ac:dyDescent="0.25">
      <c r="C32" s="30"/>
      <c r="D32" s="33"/>
      <c r="E32" s="108" t="s">
        <v>132</v>
      </c>
      <c r="F32" s="103"/>
      <c r="G32" s="103">
        <v>50</v>
      </c>
      <c r="H32" s="107"/>
      <c r="I32" s="103"/>
      <c r="J32" s="103"/>
      <c r="K32" s="103"/>
      <c r="L32" s="156">
        <v>600</v>
      </c>
      <c r="M32" s="103"/>
      <c r="N32" s="103"/>
      <c r="P32" s="41"/>
    </row>
    <row r="33" spans="4:16" x14ac:dyDescent="0.25">
      <c r="D33" s="33"/>
      <c r="E33" s="109" t="s">
        <v>133</v>
      </c>
      <c r="F33" s="103"/>
      <c r="G33" s="103"/>
      <c r="H33" s="107"/>
      <c r="I33" s="103"/>
      <c r="J33" s="156">
        <f>23750*0.11</f>
        <v>2612.5</v>
      </c>
      <c r="K33" s="103"/>
      <c r="L33" s="156">
        <v>1820.5</v>
      </c>
      <c r="M33" s="103"/>
      <c r="N33" s="156">
        <v>475</v>
      </c>
      <c r="P33" s="30"/>
    </row>
    <row r="34" spans="4:16" x14ac:dyDescent="0.25">
      <c r="D34" s="33"/>
      <c r="E34" s="108" t="s">
        <v>134</v>
      </c>
      <c r="F34" s="103"/>
      <c r="G34" s="107"/>
      <c r="H34" s="107"/>
      <c r="I34" s="103"/>
      <c r="J34" s="103"/>
      <c r="K34" s="103"/>
      <c r="L34" s="103"/>
      <c r="M34" s="103"/>
      <c r="N34" s="103"/>
      <c r="P34" s="30"/>
    </row>
    <row r="35" spans="4:16" x14ac:dyDescent="0.25">
      <c r="E35" s="108" t="s">
        <v>135</v>
      </c>
      <c r="F35" s="103"/>
      <c r="G35" s="107"/>
      <c r="H35" s="107"/>
      <c r="I35" s="103"/>
      <c r="J35" s="103"/>
      <c r="K35" s="103"/>
      <c r="L35" s="103"/>
      <c r="M35" s="156">
        <v>150</v>
      </c>
      <c r="N35" s="103"/>
      <c r="P35" s="30"/>
    </row>
    <row r="36" spans="4:16" x14ac:dyDescent="0.25">
      <c r="E36" s="108" t="s">
        <v>136</v>
      </c>
      <c r="F36" s="103"/>
      <c r="G36" s="107"/>
      <c r="H36" s="107"/>
      <c r="I36" s="103"/>
      <c r="J36" s="103"/>
      <c r="K36" s="103"/>
      <c r="L36" s="103"/>
      <c r="M36" s="103"/>
      <c r="N36" s="106"/>
    </row>
    <row r="37" spans="4:16" x14ac:dyDescent="0.25">
      <c r="E37" s="108" t="s">
        <v>137</v>
      </c>
      <c r="F37" s="103"/>
      <c r="G37" s="107"/>
      <c r="H37" s="107"/>
      <c r="I37" s="106"/>
      <c r="J37" s="111"/>
      <c r="K37" s="106"/>
      <c r="L37" s="106"/>
      <c r="M37" s="106"/>
      <c r="N37" s="106"/>
    </row>
    <row r="38" spans="4:16" x14ac:dyDescent="0.25">
      <c r="E38" s="110" t="s">
        <v>177</v>
      </c>
      <c r="F38" s="103">
        <v>220</v>
      </c>
      <c r="G38" s="107">
        <v>220</v>
      </c>
      <c r="H38" s="111"/>
      <c r="I38" s="106"/>
      <c r="J38" s="106">
        <f>22*22</f>
        <v>484</v>
      </c>
      <c r="K38" s="106"/>
      <c r="L38" s="106">
        <f>22*22</f>
        <v>484</v>
      </c>
      <c r="M38" s="106">
        <f>22*22</f>
        <v>484</v>
      </c>
      <c r="N38" s="106">
        <f>22*22</f>
        <v>484</v>
      </c>
    </row>
    <row r="39" spans="4:16" x14ac:dyDescent="0.25">
      <c r="E39" s="110" t="s">
        <v>178</v>
      </c>
      <c r="F39" s="103"/>
      <c r="G39" s="107"/>
      <c r="H39" s="111"/>
      <c r="I39" s="106"/>
      <c r="J39" s="106">
        <f>10.6*26</f>
        <v>275.59999999999997</v>
      </c>
      <c r="K39" s="106"/>
      <c r="L39" s="106">
        <f>30.2*26</f>
        <v>785.19999999999993</v>
      </c>
      <c r="M39" s="106">
        <f>21.2*26</f>
        <v>551.19999999999993</v>
      </c>
      <c r="N39" s="106">
        <f>30.2*26</f>
        <v>785.19999999999993</v>
      </c>
    </row>
    <row r="40" spans="4:16" x14ac:dyDescent="0.25">
      <c r="E40" s="110" t="s">
        <v>138</v>
      </c>
      <c r="F40" s="103"/>
      <c r="G40" s="107"/>
      <c r="H40" s="111"/>
      <c r="I40" s="103"/>
      <c r="J40" s="103"/>
      <c r="K40" s="103"/>
      <c r="L40" s="103"/>
      <c r="M40" s="103"/>
      <c r="N40" s="106"/>
    </row>
    <row r="41" spans="4:16" x14ac:dyDescent="0.25">
      <c r="E41" s="110" t="s">
        <v>139</v>
      </c>
      <c r="F41" s="157">
        <v>1548.125</v>
      </c>
      <c r="G41" s="157">
        <v>2167.375</v>
      </c>
      <c r="H41" s="157">
        <v>1548.125</v>
      </c>
      <c r="I41" s="103"/>
      <c r="J41" s="103"/>
      <c r="K41" s="103"/>
      <c r="L41" s="103">
        <v>150</v>
      </c>
      <c r="M41" s="103"/>
      <c r="N41" s="106"/>
      <c r="O41" s="106">
        <v>300</v>
      </c>
    </row>
    <row r="42" spans="4:16" x14ac:dyDescent="0.25">
      <c r="E42" s="112"/>
      <c r="F42" s="113">
        <f>SUM(F28:F41)</f>
        <v>1768.125</v>
      </c>
      <c r="G42" s="113">
        <f>SUM(G28:G41)</f>
        <v>2437.375</v>
      </c>
      <c r="H42" s="113">
        <f>SUM(H28:H41)</f>
        <v>1548.125</v>
      </c>
      <c r="I42" s="113">
        <f>SUM(I28:I41)</f>
        <v>0</v>
      </c>
      <c r="J42" s="113">
        <f>SUM(J28:J41)</f>
        <v>5019.3600000000006</v>
      </c>
      <c r="K42" s="113">
        <f t="shared" ref="K42:M42" si="3">SUM(K28:K41)</f>
        <v>0</v>
      </c>
      <c r="L42" s="113">
        <f>SUM(L28:L41)</f>
        <v>5486.96</v>
      </c>
      <c r="M42" s="113">
        <f t="shared" si="3"/>
        <v>2832.46</v>
      </c>
      <c r="N42" s="113">
        <f>SUM(N28:N41)</f>
        <v>3391.46</v>
      </c>
      <c r="O42" s="113">
        <f>SUM(O28:O41)</f>
        <v>300</v>
      </c>
      <c r="P42" s="114">
        <f>SUM(F42:O42)</f>
        <v>22783.864999999998</v>
      </c>
    </row>
    <row r="43" spans="4:16" x14ac:dyDescent="0.25">
      <c r="E43" s="115"/>
      <c r="F43" s="115"/>
      <c r="G43" s="115"/>
      <c r="H43" s="116"/>
      <c r="I43" s="117"/>
      <c r="J43" s="116"/>
      <c r="K43" s="117"/>
      <c r="L43" s="117"/>
      <c r="M43" s="115"/>
      <c r="N43" s="59"/>
      <c r="O43" s="118"/>
    </row>
    <row r="44" spans="4:16" x14ac:dyDescent="0.25">
      <c r="E44" s="119"/>
      <c r="F44" s="119"/>
      <c r="G44" s="120"/>
      <c r="H44"/>
      <c r="M44" t="s">
        <v>16</v>
      </c>
      <c r="N44" s="59"/>
      <c r="O44"/>
    </row>
    <row r="45" spans="4:16" x14ac:dyDescent="0.25">
      <c r="E45" s="121"/>
      <c r="F45" s="93">
        <v>46054</v>
      </c>
      <c r="G45" s="99" t="s">
        <v>75</v>
      </c>
      <c r="M45"/>
      <c r="N45" s="59"/>
      <c r="O45" s="115"/>
    </row>
    <row r="46" spans="4:16" x14ac:dyDescent="0.25">
      <c r="E46" s="122"/>
      <c r="F46" s="110" t="s">
        <v>140</v>
      </c>
      <c r="G46" s="103">
        <v>220</v>
      </c>
      <c r="M46"/>
      <c r="N46"/>
      <c r="O46"/>
    </row>
    <row r="47" spans="4:16" x14ac:dyDescent="0.25">
      <c r="E47" s="121"/>
      <c r="F47" s="110" t="s">
        <v>141</v>
      </c>
      <c r="G47" s="103">
        <v>1548.125</v>
      </c>
      <c r="I47" s="116"/>
      <c r="M47"/>
      <c r="N47"/>
      <c r="O47"/>
    </row>
    <row r="48" spans="4:16" x14ac:dyDescent="0.25">
      <c r="E48" s="121"/>
      <c r="F48" s="112"/>
      <c r="G48" s="113">
        <f>SUBTOTAL(9,G46:G47)</f>
        <v>1768.125</v>
      </c>
      <c r="H48" s="1" t="s">
        <v>197</v>
      </c>
      <c r="I48" s="123" t="s">
        <v>143</v>
      </c>
      <c r="M48"/>
      <c r="N48"/>
      <c r="O48"/>
    </row>
    <row r="49" spans="5:15" x14ac:dyDescent="0.25">
      <c r="E49" s="121"/>
      <c r="F49" s="115"/>
      <c r="G49" s="124"/>
      <c r="I49" s="116"/>
      <c r="M49"/>
      <c r="N49"/>
      <c r="O49"/>
    </row>
    <row r="50" spans="5:15" x14ac:dyDescent="0.25">
      <c r="E50" s="122"/>
      <c r="F50" s="93">
        <v>46054</v>
      </c>
      <c r="G50" s="100" t="s">
        <v>50</v>
      </c>
      <c r="I50" s="116"/>
      <c r="M50"/>
      <c r="N50"/>
      <c r="O50"/>
    </row>
    <row r="51" spans="5:15" x14ac:dyDescent="0.25">
      <c r="E51" s="122"/>
      <c r="F51" s="110" t="s">
        <v>140</v>
      </c>
      <c r="G51" s="103">
        <v>220</v>
      </c>
      <c r="M51"/>
      <c r="N51"/>
      <c r="O51"/>
    </row>
    <row r="52" spans="5:15" x14ac:dyDescent="0.25">
      <c r="E52" s="122"/>
      <c r="F52" s="110" t="s">
        <v>132</v>
      </c>
      <c r="G52" s="103">
        <v>50</v>
      </c>
      <c r="M52"/>
      <c r="N52"/>
      <c r="O52"/>
    </row>
    <row r="53" spans="5:15" x14ac:dyDescent="0.25">
      <c r="F53" s="110" t="s">
        <v>141</v>
      </c>
      <c r="G53" s="103">
        <v>2167.375</v>
      </c>
      <c r="M53"/>
      <c r="N53"/>
      <c r="O53"/>
    </row>
    <row r="54" spans="5:15" x14ac:dyDescent="0.25">
      <c r="E54" s="119"/>
      <c r="F54" s="98"/>
      <c r="G54" s="113">
        <f>SUBTOTAL(9,G51:G53)</f>
        <v>2437.375</v>
      </c>
      <c r="H54" s="1" t="s">
        <v>197</v>
      </c>
      <c r="I54" s="1" t="s">
        <v>144</v>
      </c>
      <c r="M54"/>
      <c r="N54"/>
      <c r="O54"/>
    </row>
    <row r="55" spans="5:15" x14ac:dyDescent="0.25">
      <c r="E55" s="121"/>
      <c r="F55" s="115"/>
      <c r="G55" s="124"/>
      <c r="M55"/>
      <c r="N55"/>
      <c r="O55"/>
    </row>
    <row r="56" spans="5:15" x14ac:dyDescent="0.25">
      <c r="E56" s="121"/>
      <c r="F56" s="115"/>
      <c r="G56" s="124"/>
      <c r="M56"/>
      <c r="N56"/>
      <c r="O56"/>
    </row>
    <row r="57" spans="5:15" x14ac:dyDescent="0.25">
      <c r="E57" s="115"/>
      <c r="F57" s="115"/>
      <c r="G57" s="124"/>
      <c r="M57"/>
      <c r="N57"/>
      <c r="O57"/>
    </row>
    <row r="58" spans="5:15" x14ac:dyDescent="0.25">
      <c r="E58" s="115"/>
      <c r="F58" s="93">
        <v>46054</v>
      </c>
      <c r="G58" s="100" t="s">
        <v>124</v>
      </c>
      <c r="M58"/>
      <c r="N58"/>
      <c r="O58"/>
    </row>
    <row r="59" spans="5:15" x14ac:dyDescent="0.25">
      <c r="E59" s="115"/>
      <c r="F59" s="110" t="s">
        <v>145</v>
      </c>
      <c r="G59" s="103">
        <v>1548.125</v>
      </c>
      <c r="M59"/>
      <c r="N59"/>
      <c r="O59"/>
    </row>
    <row r="60" spans="5:15" x14ac:dyDescent="0.25">
      <c r="E60" s="115"/>
      <c r="F60" s="125"/>
      <c r="G60" s="113">
        <f>SUM(G59:G59)</f>
        <v>1548.125</v>
      </c>
      <c r="I60" s="1">
        <v>51982833890</v>
      </c>
      <c r="M60"/>
      <c r="N60"/>
      <c r="O60"/>
    </row>
    <row r="61" spans="5:15" x14ac:dyDescent="0.25">
      <c r="E61" s="121"/>
      <c r="F61" s="115"/>
      <c r="G61" s="124"/>
      <c r="M61"/>
      <c r="N61"/>
      <c r="O61"/>
    </row>
    <row r="62" spans="5:15" x14ac:dyDescent="0.25">
      <c r="E62" s="121"/>
      <c r="F62" s="129"/>
      <c r="G62" s="124"/>
      <c r="I62" s="130"/>
      <c r="K62" s="131"/>
      <c r="M62"/>
      <c r="N62"/>
      <c r="O62"/>
    </row>
    <row r="63" spans="5:15" x14ac:dyDescent="0.25">
      <c r="E63" s="122"/>
      <c r="F63" s="93">
        <v>46054</v>
      </c>
      <c r="G63" s="101" t="s">
        <v>80</v>
      </c>
      <c r="I63" s="126"/>
      <c r="K63" s="131"/>
      <c r="M63"/>
      <c r="N63"/>
      <c r="O63"/>
    </row>
    <row r="64" spans="5:15" x14ac:dyDescent="0.25">
      <c r="E64" s="127"/>
      <c r="F64" s="108" t="s">
        <v>131</v>
      </c>
      <c r="G64" s="106">
        <v>1647.26</v>
      </c>
      <c r="K64" s="131"/>
      <c r="M64">
        <f>9.5*2</f>
        <v>19</v>
      </c>
      <c r="N64"/>
      <c r="O64"/>
    </row>
    <row r="65" spans="5:15" x14ac:dyDescent="0.25">
      <c r="E65" s="132"/>
      <c r="F65" s="109" t="s">
        <v>146</v>
      </c>
      <c r="G65" s="106">
        <v>600</v>
      </c>
      <c r="K65" s="131"/>
      <c r="M65">
        <v>10.6</v>
      </c>
      <c r="N65"/>
      <c r="O65"/>
    </row>
    <row r="66" spans="5:15" ht="45" x14ac:dyDescent="0.25">
      <c r="E66" s="128"/>
      <c r="F66" s="133" t="s">
        <v>181</v>
      </c>
      <c r="G66" s="106">
        <v>1820.5</v>
      </c>
      <c r="K66" s="131"/>
      <c r="M66"/>
      <c r="N66"/>
      <c r="O66"/>
    </row>
    <row r="67" spans="5:15" x14ac:dyDescent="0.25">
      <c r="E67" s="115"/>
      <c r="F67" s="110" t="s">
        <v>177</v>
      </c>
      <c r="G67" s="106">
        <v>484</v>
      </c>
      <c r="K67" s="131"/>
      <c r="M67" s="151">
        <f>SUM(M64:M66)</f>
        <v>29.6</v>
      </c>
      <c r="N67"/>
      <c r="O67"/>
    </row>
    <row r="68" spans="5:15" x14ac:dyDescent="0.25">
      <c r="E68" s="115"/>
      <c r="F68" s="110" t="s">
        <v>178</v>
      </c>
      <c r="G68" s="106">
        <v>785.19999999999993</v>
      </c>
      <c r="K68" s="131"/>
      <c r="M68">
        <v>7</v>
      </c>
      <c r="N68"/>
      <c r="O68"/>
    </row>
    <row r="69" spans="5:15" x14ac:dyDescent="0.25">
      <c r="E69" s="115"/>
      <c r="F69" s="110" t="s">
        <v>191</v>
      </c>
      <c r="G69" s="106">
        <f>1.2*9</f>
        <v>10.799999999999999</v>
      </c>
      <c r="K69" s="131">
        <v>2843.26</v>
      </c>
      <c r="M69">
        <f>M67*M68</f>
        <v>207.20000000000002</v>
      </c>
      <c r="N69"/>
      <c r="O69"/>
    </row>
    <row r="70" spans="5:15" x14ac:dyDescent="0.25">
      <c r="E70" s="121"/>
      <c r="F70" s="110" t="s">
        <v>180</v>
      </c>
      <c r="G70" s="106">
        <v>150</v>
      </c>
      <c r="I70" s="1" t="s">
        <v>147</v>
      </c>
      <c r="K70" s="1">
        <v>5024.76</v>
      </c>
      <c r="M70"/>
      <c r="N70"/>
      <c r="O70"/>
    </row>
    <row r="71" spans="5:15" x14ac:dyDescent="0.25">
      <c r="E71" s="121"/>
      <c r="F71" s="125"/>
      <c r="G71" s="113">
        <f>SUBTOTAL(9,G64:G70)</f>
        <v>5497.76</v>
      </c>
      <c r="H71" s="1" t="s">
        <v>197</v>
      </c>
      <c r="K71" s="181">
        <f>10000-K70-K69</f>
        <v>2131.9799999999996</v>
      </c>
      <c r="M71"/>
      <c r="N71"/>
      <c r="O71"/>
    </row>
    <row r="72" spans="5:15" x14ac:dyDescent="0.25">
      <c r="E72" s="134"/>
      <c r="F72" s="129"/>
      <c r="G72" s="124"/>
      <c r="M72"/>
      <c r="N72"/>
      <c r="O72"/>
    </row>
    <row r="73" spans="5:15" x14ac:dyDescent="0.25">
      <c r="F73" s="129"/>
      <c r="G73" s="124"/>
      <c r="M73"/>
      <c r="N73"/>
      <c r="O73"/>
    </row>
    <row r="74" spans="5:15" x14ac:dyDescent="0.25">
      <c r="E74" s="93" t="s">
        <v>148</v>
      </c>
      <c r="F74" s="93">
        <v>46054</v>
      </c>
      <c r="G74" s="99" t="s">
        <v>125</v>
      </c>
      <c r="K74" s="131"/>
      <c r="M74" s="151">
        <v>10.6</v>
      </c>
      <c r="N74"/>
      <c r="O74"/>
    </row>
    <row r="75" spans="5:15" x14ac:dyDescent="0.25">
      <c r="E75" s="83" t="s">
        <v>105</v>
      </c>
      <c r="F75" s="135" t="s">
        <v>131</v>
      </c>
      <c r="G75" s="106">
        <v>1647.26</v>
      </c>
      <c r="M75"/>
      <c r="N75"/>
      <c r="O75"/>
    </row>
    <row r="76" spans="5:15" x14ac:dyDescent="0.25">
      <c r="E76" s="83" t="s">
        <v>107</v>
      </c>
      <c r="F76" s="136" t="s">
        <v>133</v>
      </c>
      <c r="G76" s="156">
        <f>23750*0.11</f>
        <v>2612.5</v>
      </c>
      <c r="M76"/>
      <c r="N76"/>
      <c r="O76"/>
    </row>
    <row r="77" spans="5:15" x14ac:dyDescent="0.25">
      <c r="E77" s="83" t="s">
        <v>95</v>
      </c>
      <c r="F77" s="110" t="s">
        <v>177</v>
      </c>
      <c r="G77" s="106">
        <v>484</v>
      </c>
      <c r="J77" s="137" t="s">
        <v>149</v>
      </c>
      <c r="K77" s="138" t="s">
        <v>150</v>
      </c>
      <c r="L77" s="137" t="s">
        <v>151</v>
      </c>
      <c r="M77" s="138" t="s">
        <v>67</v>
      </c>
      <c r="N77" s="138" t="s">
        <v>152</v>
      </c>
      <c r="O77"/>
    </row>
    <row r="78" spans="5:15" x14ac:dyDescent="0.25">
      <c r="E78" s="83" t="s">
        <v>97</v>
      </c>
      <c r="F78" s="110" t="s">
        <v>178</v>
      </c>
      <c r="G78" s="106">
        <v>275.59999999999997</v>
      </c>
      <c r="I78" s="1" t="s">
        <v>153</v>
      </c>
      <c r="J78" s="139" t="s">
        <v>154</v>
      </c>
      <c r="K78" s="140" t="s">
        <v>155</v>
      </c>
      <c r="L78" s="139" t="s">
        <v>156</v>
      </c>
      <c r="M78" s="140" t="s">
        <v>157</v>
      </c>
      <c r="N78" s="141" t="s">
        <v>158</v>
      </c>
      <c r="O78"/>
    </row>
    <row r="79" spans="5:15" x14ac:dyDescent="0.25">
      <c r="E79" s="83" t="s">
        <v>103</v>
      </c>
      <c r="F79" s="110" t="s">
        <v>191</v>
      </c>
      <c r="G79" s="106">
        <f>0.6*9</f>
        <v>5.3999999999999995</v>
      </c>
      <c r="M79"/>
      <c r="N79"/>
      <c r="O79"/>
    </row>
    <row r="80" spans="5:15" x14ac:dyDescent="0.25">
      <c r="E80" s="83" t="s">
        <v>92</v>
      </c>
      <c r="F80" s="125"/>
      <c r="G80" s="113">
        <f>SUBTOTAL(9,G75:G79)</f>
        <v>5024.76</v>
      </c>
      <c r="H80" s="1" t="s">
        <v>45</v>
      </c>
      <c r="M80"/>
      <c r="N80"/>
      <c r="O80"/>
    </row>
    <row r="81" spans="5:15" x14ac:dyDescent="0.25">
      <c r="E81" s="83" t="s">
        <v>99</v>
      </c>
      <c r="F81" s="129"/>
      <c r="G81" s="142"/>
      <c r="O81"/>
    </row>
    <row r="82" spans="5:15" x14ac:dyDescent="0.25">
      <c r="E82" s="83" t="s">
        <v>101</v>
      </c>
      <c r="F82" s="129"/>
      <c r="G82" s="142"/>
      <c r="O82"/>
    </row>
    <row r="83" spans="5:15" x14ac:dyDescent="0.25">
      <c r="E83" s="152"/>
      <c r="F83" s="129"/>
      <c r="G83" s="124"/>
      <c r="O83"/>
    </row>
    <row r="84" spans="5:15" x14ac:dyDescent="0.25">
      <c r="E84" s="152"/>
      <c r="F84" s="20"/>
      <c r="G84" s="130"/>
      <c r="O84"/>
    </row>
    <row r="85" spans="5:15" x14ac:dyDescent="0.25">
      <c r="E85" s="152"/>
      <c r="F85" s="20"/>
      <c r="G85" s="130"/>
      <c r="O85"/>
    </row>
    <row r="86" spans="5:15" x14ac:dyDescent="0.25">
      <c r="E86" s="152"/>
      <c r="F86" s="20"/>
      <c r="G86" s="130"/>
      <c r="O86"/>
    </row>
    <row r="87" spans="5:15" x14ac:dyDescent="0.25">
      <c r="F87" s="20"/>
      <c r="G87" s="130"/>
      <c r="H87" s="143"/>
      <c r="M87" s="1">
        <v>10.6</v>
      </c>
      <c r="O87"/>
    </row>
    <row r="88" spans="5:15" x14ac:dyDescent="0.25">
      <c r="F88" s="20"/>
      <c r="G88" s="130"/>
      <c r="M88" s="1">
        <v>10.6</v>
      </c>
      <c r="O88"/>
    </row>
    <row r="89" spans="5:15" x14ac:dyDescent="0.25">
      <c r="E89" s="119"/>
      <c r="F89" s="93">
        <v>46054</v>
      </c>
      <c r="G89" s="100" t="s">
        <v>127</v>
      </c>
      <c r="M89" s="151">
        <f>SUM(M87:M88)</f>
        <v>21.2</v>
      </c>
      <c r="N89"/>
      <c r="O89"/>
    </row>
    <row r="90" spans="5:15" x14ac:dyDescent="0.25">
      <c r="F90" s="110" t="s">
        <v>177</v>
      </c>
      <c r="G90" s="106">
        <v>484</v>
      </c>
      <c r="M90"/>
      <c r="N90"/>
      <c r="O90"/>
    </row>
    <row r="91" spans="5:15" x14ac:dyDescent="0.25">
      <c r="E91" s="132"/>
      <c r="F91" s="110" t="s">
        <v>178</v>
      </c>
      <c r="G91" s="106">
        <v>551.19999999999993</v>
      </c>
      <c r="H91" s="143"/>
      <c r="N91"/>
      <c r="O91"/>
    </row>
    <row r="92" spans="5:15" x14ac:dyDescent="0.25">
      <c r="E92" s="132"/>
      <c r="F92" s="110" t="s">
        <v>191</v>
      </c>
      <c r="G92" s="106">
        <f>1.2*9</f>
        <v>10.799999999999999</v>
      </c>
      <c r="H92" s="143"/>
      <c r="M92"/>
      <c r="N92"/>
      <c r="O92"/>
    </row>
    <row r="93" spans="5:15" x14ac:dyDescent="0.25">
      <c r="E93" s="115"/>
      <c r="F93" s="110" t="s">
        <v>159</v>
      </c>
      <c r="G93" s="106">
        <v>1647.26</v>
      </c>
      <c r="H93" s="143"/>
      <c r="I93" s="1" t="s">
        <v>160</v>
      </c>
      <c r="M93"/>
      <c r="N93"/>
      <c r="O93"/>
    </row>
    <row r="94" spans="5:15" x14ac:dyDescent="0.25">
      <c r="E94" s="115"/>
      <c r="F94" s="110" t="s">
        <v>179</v>
      </c>
      <c r="G94" s="106">
        <v>150</v>
      </c>
      <c r="M94"/>
      <c r="N94"/>
      <c r="O94"/>
    </row>
    <row r="95" spans="5:15" x14ac:dyDescent="0.25">
      <c r="E95" s="115"/>
      <c r="F95" s="98"/>
      <c r="G95" s="113">
        <f>SUBTOTAL(9,G90:G94)</f>
        <v>2843.2599999999998</v>
      </c>
      <c r="H95" s="143"/>
      <c r="M95"/>
      <c r="N95"/>
      <c r="O95"/>
    </row>
    <row r="96" spans="5:15" x14ac:dyDescent="0.25">
      <c r="E96" s="115"/>
      <c r="F96" s="115"/>
      <c r="G96" s="124"/>
      <c r="H96" s="143"/>
      <c r="J96" s="137" t="s">
        <v>149</v>
      </c>
      <c r="K96" s="138" t="s">
        <v>150</v>
      </c>
      <c r="L96" s="137" t="s">
        <v>151</v>
      </c>
      <c r="M96" s="138" t="s">
        <v>67</v>
      </c>
      <c r="N96" s="138" t="s">
        <v>152</v>
      </c>
      <c r="O96"/>
    </row>
    <row r="97" spans="5:15" x14ac:dyDescent="0.25">
      <c r="E97" s="115"/>
      <c r="F97" s="93">
        <v>46054</v>
      </c>
      <c r="G97" s="99" t="s">
        <v>161</v>
      </c>
      <c r="H97" s="143" t="s">
        <v>142</v>
      </c>
      <c r="I97" s="1" t="s">
        <v>153</v>
      </c>
      <c r="J97" s="139" t="s">
        <v>164</v>
      </c>
      <c r="K97" s="140" t="s">
        <v>165</v>
      </c>
      <c r="L97" s="139" t="s">
        <v>166</v>
      </c>
      <c r="M97" s="140" t="s">
        <v>167</v>
      </c>
      <c r="N97" s="144" t="s">
        <v>167</v>
      </c>
      <c r="O97"/>
    </row>
    <row r="98" spans="5:15" x14ac:dyDescent="0.25">
      <c r="E98" s="134"/>
      <c r="F98" s="102" t="s">
        <v>162</v>
      </c>
      <c r="G98" s="103">
        <v>300</v>
      </c>
      <c r="M98"/>
      <c r="N98"/>
      <c r="O98"/>
    </row>
    <row r="99" spans="5:15" x14ac:dyDescent="0.25">
      <c r="F99" s="125" t="s">
        <v>163</v>
      </c>
      <c r="G99" s="113">
        <f>SUBTOTAL(9,G98:G98)</f>
        <v>300</v>
      </c>
      <c r="H99" s="132" t="s">
        <v>45</v>
      </c>
      <c r="O99"/>
    </row>
    <row r="100" spans="5:15" x14ac:dyDescent="0.25">
      <c r="E100" s="115"/>
      <c r="F100" s="134"/>
      <c r="G100" s="124"/>
      <c r="O100" s="115"/>
    </row>
    <row r="101" spans="5:15" x14ac:dyDescent="0.25">
      <c r="F101" s="115"/>
      <c r="G101" s="124"/>
      <c r="M101">
        <v>10.6</v>
      </c>
      <c r="N101"/>
      <c r="O101"/>
    </row>
    <row r="102" spans="5:15" x14ac:dyDescent="0.25">
      <c r="F102" s="93">
        <v>46054</v>
      </c>
      <c r="G102" s="100" t="s">
        <v>108</v>
      </c>
      <c r="M102"/>
      <c r="N102"/>
      <c r="O102"/>
    </row>
    <row r="103" spans="5:15" x14ac:dyDescent="0.25">
      <c r="F103" s="108" t="s">
        <v>131</v>
      </c>
      <c r="G103" s="106">
        <v>1647.26</v>
      </c>
      <c r="M103">
        <v>10</v>
      </c>
      <c r="N103"/>
      <c r="O103"/>
    </row>
    <row r="104" spans="5:15" x14ac:dyDescent="0.25">
      <c r="F104" s="108" t="s">
        <v>133</v>
      </c>
      <c r="G104" s="106">
        <v>475</v>
      </c>
      <c r="M104">
        <v>9.6</v>
      </c>
      <c r="N104"/>
      <c r="O104"/>
    </row>
    <row r="105" spans="5:15" x14ac:dyDescent="0.25">
      <c r="F105" s="110" t="s">
        <v>177</v>
      </c>
      <c r="G105" s="106">
        <f>22*22</f>
        <v>484</v>
      </c>
      <c r="M105"/>
      <c r="N105"/>
      <c r="O105"/>
    </row>
    <row r="106" spans="5:15" x14ac:dyDescent="0.25">
      <c r="F106" s="110" t="s">
        <v>178</v>
      </c>
      <c r="G106" s="106">
        <f>30.2*26</f>
        <v>785.19999999999993</v>
      </c>
      <c r="I106" s="1" t="s">
        <v>168</v>
      </c>
      <c r="M106" s="150">
        <f>SUM(M101:M104)</f>
        <v>30.200000000000003</v>
      </c>
    </row>
    <row r="107" spans="5:15" x14ac:dyDescent="0.25">
      <c r="F107" s="110" t="s">
        <v>191</v>
      </c>
      <c r="G107" s="106">
        <f>0.6*9</f>
        <v>5.3999999999999995</v>
      </c>
    </row>
    <row r="108" spans="5:15" x14ac:dyDescent="0.25">
      <c r="F108" s="125"/>
      <c r="G108" s="113">
        <f>SUBTOTAL(9,G103:G107)</f>
        <v>3396.86</v>
      </c>
      <c r="H108" s="1" t="s">
        <v>45</v>
      </c>
    </row>
    <row r="109" spans="5:15" x14ac:dyDescent="0.25">
      <c r="F109" s="129"/>
      <c r="G109" s="124"/>
      <c r="M109"/>
      <c r="N109"/>
      <c r="O109"/>
    </row>
    <row r="110" spans="5:15" x14ac:dyDescent="0.25">
      <c r="G110"/>
      <c r="J110" s="145" t="s">
        <v>170</v>
      </c>
    </row>
    <row r="111" spans="5:15" x14ac:dyDescent="0.25">
      <c r="F111" s="93">
        <v>46054</v>
      </c>
      <c r="G111" s="99" t="s">
        <v>169</v>
      </c>
      <c r="I111" s="1" t="s">
        <v>152</v>
      </c>
      <c r="J111" s="145" t="s">
        <v>172</v>
      </c>
    </row>
    <row r="112" spans="5:15" x14ac:dyDescent="0.25">
      <c r="F112" s="98"/>
      <c r="G112" s="113">
        <v>2000</v>
      </c>
    </row>
    <row r="113" spans="6:15" x14ac:dyDescent="0.25">
      <c r="F113" s="50" t="s">
        <v>171</v>
      </c>
      <c r="H113" s="146" t="s">
        <v>174</v>
      </c>
      <c r="M113"/>
      <c r="N113"/>
      <c r="O113"/>
    </row>
    <row r="115" spans="6:15" x14ac:dyDescent="0.25">
      <c r="F115" s="93">
        <v>46054</v>
      </c>
      <c r="G115" s="99" t="s">
        <v>173</v>
      </c>
    </row>
    <row r="116" spans="6:15" x14ac:dyDescent="0.25">
      <c r="F116" s="24" t="s">
        <v>175</v>
      </c>
      <c r="G116" s="147">
        <v>3445.24</v>
      </c>
    </row>
    <row r="117" spans="6:15" x14ac:dyDescent="0.25">
      <c r="F117" s="24" t="s">
        <v>176</v>
      </c>
      <c r="G117" s="148">
        <v>4000</v>
      </c>
      <c r="J117" s="1" t="s">
        <v>16</v>
      </c>
    </row>
    <row r="118" spans="6:15" x14ac:dyDescent="0.25">
      <c r="F118" s="98"/>
      <c r="G118" s="113">
        <f>SUM(G116:G117)</f>
        <v>7445.24</v>
      </c>
      <c r="J118" s="1" t="s">
        <v>16</v>
      </c>
    </row>
    <row r="119" spans="6:15" x14ac:dyDescent="0.25">
      <c r="G119" s="149"/>
      <c r="J119" s="1" t="s">
        <v>16</v>
      </c>
    </row>
    <row r="120" spans="6:15" x14ac:dyDescent="0.25">
      <c r="F120" s="161" t="s">
        <v>183</v>
      </c>
      <c r="G120" s="161"/>
      <c r="J120" s="1" t="s">
        <v>16</v>
      </c>
    </row>
    <row r="121" spans="6:15" x14ac:dyDescent="0.25">
      <c r="F121" s="64" t="s">
        <v>132</v>
      </c>
      <c r="G121" s="29">
        <v>100</v>
      </c>
    </row>
    <row r="122" spans="6:15" x14ac:dyDescent="0.25">
      <c r="F122" s="24" t="s">
        <v>182</v>
      </c>
      <c r="G122" s="29">
        <v>360</v>
      </c>
    </row>
    <row r="123" spans="6:15" x14ac:dyDescent="0.25">
      <c r="F123" s="98"/>
      <c r="G123" s="162">
        <f>SUM(G121:G122)</f>
        <v>460</v>
      </c>
    </row>
    <row r="125" spans="6:15" x14ac:dyDescent="0.25">
      <c r="F125" s="186" t="s">
        <v>37</v>
      </c>
      <c r="G125" s="187"/>
    </row>
    <row r="126" spans="6:15" x14ac:dyDescent="0.25">
      <c r="F126" s="44" t="s">
        <v>184</v>
      </c>
      <c r="G126" s="29">
        <v>612</v>
      </c>
    </row>
    <row r="127" spans="6:15" x14ac:dyDescent="0.25">
      <c r="F127" s="64" t="s">
        <v>132</v>
      </c>
      <c r="G127" s="29">
        <v>250</v>
      </c>
    </row>
    <row r="128" spans="6:15" x14ac:dyDescent="0.25">
      <c r="F128" s="98"/>
      <c r="G128" s="162">
        <f>SUM(G126:G127)</f>
        <v>862</v>
      </c>
      <c r="I128" s="181">
        <f>1132+G128</f>
        <v>1994</v>
      </c>
    </row>
    <row r="130" spans="6:7" x14ac:dyDescent="0.25">
      <c r="F130" s="183" t="s">
        <v>25</v>
      </c>
      <c r="G130" s="184"/>
    </row>
    <row r="131" spans="6:7" x14ac:dyDescent="0.25">
      <c r="F131" s="29" t="s">
        <v>185</v>
      </c>
      <c r="G131" s="29">
        <v>50</v>
      </c>
    </row>
    <row r="132" spans="6:7" x14ac:dyDescent="0.25">
      <c r="F132" s="27" t="s">
        <v>186</v>
      </c>
      <c r="G132" s="29">
        <v>391</v>
      </c>
    </row>
    <row r="133" spans="6:7" x14ac:dyDescent="0.25">
      <c r="F133" s="98"/>
      <c r="G133" s="162">
        <f>SUM(G131:G132)</f>
        <v>441</v>
      </c>
    </row>
    <row r="135" spans="6:7" x14ac:dyDescent="0.25">
      <c r="F135" s="183" t="s">
        <v>187</v>
      </c>
      <c r="G135" s="184"/>
    </row>
    <row r="136" spans="6:7" x14ac:dyDescent="0.25">
      <c r="F136" s="29" t="s">
        <v>188</v>
      </c>
      <c r="G136" s="164">
        <v>50</v>
      </c>
    </row>
    <row r="138" spans="6:7" x14ac:dyDescent="0.25">
      <c r="F138" s="183" t="s">
        <v>77</v>
      </c>
      <c r="G138" s="184"/>
    </row>
    <row r="139" spans="6:7" x14ac:dyDescent="0.25">
      <c r="F139" s="29" t="s">
        <v>189</v>
      </c>
      <c r="G139" s="29">
        <v>200</v>
      </c>
    </row>
    <row r="140" spans="6:7" x14ac:dyDescent="0.25">
      <c r="F140" s="27" t="s">
        <v>190</v>
      </c>
      <c r="G140" s="29">
        <v>2482</v>
      </c>
    </row>
    <row r="141" spans="6:7" x14ac:dyDescent="0.25">
      <c r="F141" s="98"/>
      <c r="G141" s="162">
        <f>SUM(G139:G140)</f>
        <v>2682</v>
      </c>
    </row>
  </sheetData>
  <autoFilter ref="A1:X14" xr:uid="{00000000-0009-0000-0000-000000000000}"/>
  <sortState xmlns:xlrd2="http://schemas.microsoft.com/office/spreadsheetml/2017/richdata2" ref="A2:X9">
    <sortCondition ref="A2:A9"/>
  </sortState>
  <mergeCells count="5">
    <mergeCell ref="F138:G138"/>
    <mergeCell ref="A14:B14"/>
    <mergeCell ref="F125:G125"/>
    <mergeCell ref="F130:G130"/>
    <mergeCell ref="F135:G135"/>
  </mergeCells>
  <hyperlinks>
    <hyperlink ref="N78" r:id="rId1" xr:uid="{00000000-0004-0000-0000-000000000000}"/>
  </hyperlinks>
  <pageMargins left="0.51180555555555496" right="0.51180555555555496" top="0.78749999999999998" bottom="0.78749999999999998" header="0.51180555555555496" footer="0.51180555555555496"/>
  <pageSetup paperSize="9" scale="15" firstPageNumber="0" fitToHeight="0" orientation="landscape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zoomScale="85" zoomScaleNormal="85" workbookViewId="0">
      <selection activeCell="L18" activeCellId="5" sqref="L9 L14 L15 L16 L17 L18"/>
    </sheetView>
  </sheetViews>
  <sheetFormatPr defaultColWidth="12.85546875" defaultRowHeight="15" x14ac:dyDescent="0.25"/>
  <cols>
    <col min="1" max="1" width="18.42578125" bestFit="1" customWidth="1"/>
    <col min="5" max="5" width="57" customWidth="1"/>
    <col min="7" max="7" width="18.7109375" bestFit="1" customWidth="1"/>
    <col min="10" max="10" width="39.28515625" bestFit="1" customWidth="1"/>
    <col min="11" max="11" width="16.5703125" customWidth="1"/>
    <col min="12" max="12" width="14.140625" customWidth="1"/>
    <col min="14" max="14" width="13.7109375" bestFit="1" customWidth="1"/>
  </cols>
  <sheetData>
    <row r="1" spans="1:17" x14ac:dyDescent="0.25">
      <c r="A1" s="27" t="s">
        <v>19</v>
      </c>
      <c r="B1" s="27" t="s">
        <v>20</v>
      </c>
      <c r="C1" s="27" t="s">
        <v>46</v>
      </c>
      <c r="D1" s="27" t="s">
        <v>47</v>
      </c>
      <c r="E1" s="27" t="s">
        <v>21</v>
      </c>
      <c r="G1" s="27" t="s">
        <v>19</v>
      </c>
      <c r="H1" s="27" t="s">
        <v>22</v>
      </c>
      <c r="I1" s="27" t="s">
        <v>48</v>
      </c>
      <c r="J1" s="27" t="s">
        <v>23</v>
      </c>
      <c r="K1" s="27" t="s">
        <v>42</v>
      </c>
      <c r="L1" s="27" t="s">
        <v>43</v>
      </c>
      <c r="M1" s="27" t="s">
        <v>44</v>
      </c>
      <c r="N1" s="27" t="s">
        <v>31</v>
      </c>
      <c r="O1" s="27" t="s">
        <v>32</v>
      </c>
    </row>
    <row r="2" spans="1:17" x14ac:dyDescent="0.25">
      <c r="A2" s="24" t="s">
        <v>119</v>
      </c>
      <c r="B2" s="26">
        <v>1</v>
      </c>
      <c r="C2" s="160">
        <v>50</v>
      </c>
      <c r="D2" s="24"/>
      <c r="E2" s="24" t="s">
        <v>120</v>
      </c>
      <c r="G2" s="47" t="s">
        <v>110</v>
      </c>
      <c r="H2" s="48">
        <v>3</v>
      </c>
      <c r="I2" s="62"/>
      <c r="J2" s="169" t="s">
        <v>192</v>
      </c>
      <c r="K2" s="45">
        <v>10100</v>
      </c>
      <c r="L2" s="54" t="s">
        <v>59</v>
      </c>
      <c r="M2" s="159">
        <f>K2*0.17</f>
        <v>1717.0000000000002</v>
      </c>
      <c r="N2" s="173">
        <v>46057</v>
      </c>
      <c r="O2" s="47"/>
      <c r="Q2" s="182">
        <f>K2*30%</f>
        <v>3030</v>
      </c>
    </row>
    <row r="3" spans="1:17" x14ac:dyDescent="0.25">
      <c r="A3" s="24" t="s">
        <v>86</v>
      </c>
      <c r="B3" s="26"/>
      <c r="C3" s="45"/>
      <c r="D3" s="24"/>
      <c r="E3" s="24"/>
      <c r="G3" s="47"/>
      <c r="H3" s="48"/>
      <c r="I3" s="62"/>
      <c r="J3" s="174">
        <v>81137055</v>
      </c>
      <c r="K3" s="45">
        <v>4500</v>
      </c>
      <c r="L3" s="54"/>
      <c r="M3" s="159">
        <f>K3*0.17</f>
        <v>765</v>
      </c>
      <c r="N3" s="47" t="s">
        <v>193</v>
      </c>
      <c r="O3" s="47"/>
      <c r="Q3" s="182">
        <f>K3*30%</f>
        <v>1350</v>
      </c>
    </row>
    <row r="4" spans="1:17" x14ac:dyDescent="0.25">
      <c r="A4" s="24" t="s">
        <v>30</v>
      </c>
      <c r="B4" s="23"/>
      <c r="C4" s="45"/>
      <c r="D4" s="23"/>
      <c r="E4" s="28"/>
      <c r="G4" s="24" t="s">
        <v>114</v>
      </c>
      <c r="H4" s="23">
        <v>1</v>
      </c>
      <c r="I4" s="45"/>
      <c r="J4" s="165" t="s">
        <v>115</v>
      </c>
      <c r="K4" s="45">
        <v>2300</v>
      </c>
      <c r="L4" s="170">
        <f>K4*0.3</f>
        <v>690</v>
      </c>
      <c r="M4" s="159">
        <f>K4*0.17</f>
        <v>391</v>
      </c>
      <c r="N4" s="172">
        <v>46057</v>
      </c>
      <c r="O4" s="23"/>
      <c r="Q4" s="182">
        <f t="shared" ref="Q4:Q23" si="0">K4*30%</f>
        <v>690</v>
      </c>
    </row>
    <row r="5" spans="1:17" x14ac:dyDescent="0.25">
      <c r="A5" s="24" t="s">
        <v>41</v>
      </c>
      <c r="B5" s="23"/>
      <c r="C5" s="45"/>
      <c r="D5" s="23"/>
      <c r="E5" s="28"/>
      <c r="G5" s="24"/>
      <c r="H5" s="23"/>
      <c r="I5" s="45"/>
      <c r="J5" s="28"/>
      <c r="K5" s="45"/>
      <c r="L5" s="29"/>
      <c r="M5" s="29"/>
      <c r="N5" s="23"/>
      <c r="O5" s="23"/>
      <c r="Q5" s="182">
        <f t="shared" si="0"/>
        <v>0</v>
      </c>
    </row>
    <row r="6" spans="1:17" x14ac:dyDescent="0.25">
      <c r="A6" s="24" t="s">
        <v>76</v>
      </c>
      <c r="B6" s="23"/>
      <c r="C6" s="45"/>
      <c r="D6" s="23"/>
      <c r="E6" s="28"/>
      <c r="G6" s="24"/>
      <c r="H6" s="23"/>
      <c r="I6" s="45"/>
      <c r="J6" s="28"/>
      <c r="K6" s="45"/>
      <c r="L6" s="29"/>
      <c r="M6" s="29"/>
      <c r="N6" s="23"/>
      <c r="O6" s="23"/>
      <c r="Q6" s="182">
        <f t="shared" si="0"/>
        <v>0</v>
      </c>
    </row>
    <row r="7" spans="1:17" x14ac:dyDescent="0.25">
      <c r="A7" s="24" t="s">
        <v>36</v>
      </c>
      <c r="B7" s="23"/>
      <c r="C7" s="45"/>
      <c r="D7" s="23"/>
      <c r="E7" s="28"/>
      <c r="G7" s="24"/>
      <c r="H7" s="23"/>
      <c r="I7" s="45"/>
      <c r="J7" s="28"/>
      <c r="K7" s="45"/>
      <c r="L7" s="29"/>
      <c r="M7" s="29"/>
      <c r="N7" s="23"/>
      <c r="O7" s="23"/>
      <c r="Q7" s="182">
        <f t="shared" si="0"/>
        <v>0</v>
      </c>
    </row>
    <row r="8" spans="1:17" x14ac:dyDescent="0.25">
      <c r="A8" s="24" t="s">
        <v>33</v>
      </c>
      <c r="B8" s="23">
        <v>3</v>
      </c>
      <c r="C8" s="45">
        <v>0</v>
      </c>
      <c r="D8" s="23"/>
      <c r="E8" s="28" t="s">
        <v>117</v>
      </c>
      <c r="G8" s="24" t="s">
        <v>109</v>
      </c>
      <c r="H8" s="26">
        <v>2</v>
      </c>
      <c r="I8" s="65" t="s">
        <v>59</v>
      </c>
      <c r="J8" s="165" t="s">
        <v>112</v>
      </c>
      <c r="K8" s="171">
        <v>950</v>
      </c>
      <c r="L8" s="54" t="s">
        <v>59</v>
      </c>
      <c r="M8" s="159">
        <f>K8*0.1</f>
        <v>95</v>
      </c>
      <c r="N8" s="172">
        <v>46057</v>
      </c>
      <c r="O8" s="23"/>
      <c r="Q8" s="182">
        <f t="shared" si="0"/>
        <v>285</v>
      </c>
    </row>
    <row r="9" spans="1:17" x14ac:dyDescent="0.25">
      <c r="A9" s="24" t="s">
        <v>77</v>
      </c>
      <c r="B9" s="23">
        <v>4</v>
      </c>
      <c r="C9" s="160">
        <v>200</v>
      </c>
      <c r="D9" s="23"/>
      <c r="E9" s="28" t="s">
        <v>196</v>
      </c>
      <c r="G9" s="24"/>
      <c r="H9" s="24"/>
      <c r="I9" s="45">
        <v>100</v>
      </c>
      <c r="J9" s="175">
        <v>81136406</v>
      </c>
      <c r="K9" s="45">
        <v>2650</v>
      </c>
      <c r="L9" s="29">
        <f t="shared" ref="L9" si="1">K9*0.3</f>
        <v>795</v>
      </c>
      <c r="M9" s="159">
        <f>K9*0.1</f>
        <v>265</v>
      </c>
      <c r="N9" s="23" t="s">
        <v>193</v>
      </c>
      <c r="O9" s="23"/>
      <c r="Q9" s="182">
        <f t="shared" si="0"/>
        <v>795</v>
      </c>
    </row>
    <row r="10" spans="1:17" x14ac:dyDescent="0.25">
      <c r="A10" s="24" t="s">
        <v>195</v>
      </c>
      <c r="B10" s="23">
        <v>1</v>
      </c>
      <c r="C10" s="45">
        <v>0</v>
      </c>
      <c r="D10" s="23"/>
      <c r="E10" s="28">
        <v>773800</v>
      </c>
      <c r="G10" s="24"/>
      <c r="H10" s="24"/>
      <c r="I10" s="45"/>
      <c r="J10" s="28"/>
      <c r="K10" s="45"/>
      <c r="L10" s="54"/>
      <c r="M10" s="29"/>
      <c r="N10" s="23"/>
      <c r="O10" s="23"/>
      <c r="Q10" s="182">
        <f t="shared" si="0"/>
        <v>0</v>
      </c>
    </row>
    <row r="11" spans="1:17" x14ac:dyDescent="0.25">
      <c r="A11" s="24" t="s">
        <v>29</v>
      </c>
      <c r="B11" s="23"/>
      <c r="C11" s="45"/>
      <c r="D11" s="23"/>
      <c r="E11" s="28"/>
      <c r="G11" s="24"/>
      <c r="H11" s="24"/>
      <c r="I11" s="45"/>
      <c r="J11" s="28"/>
      <c r="K11" s="45"/>
      <c r="L11" s="54"/>
      <c r="M11" s="29"/>
      <c r="N11" s="23"/>
      <c r="O11" s="23"/>
      <c r="Q11" s="182">
        <f t="shared" si="0"/>
        <v>0</v>
      </c>
    </row>
    <row r="12" spans="1:17" x14ac:dyDescent="0.25">
      <c r="A12" s="24" t="s">
        <v>39</v>
      </c>
      <c r="B12" s="23"/>
      <c r="C12" s="45"/>
      <c r="D12" s="23"/>
      <c r="E12" s="28"/>
      <c r="G12" s="24" t="s">
        <v>81</v>
      </c>
      <c r="H12" s="23">
        <v>7</v>
      </c>
      <c r="I12" s="65" t="s">
        <v>59</v>
      </c>
      <c r="J12" s="165">
        <v>81136800</v>
      </c>
      <c r="K12" s="45">
        <v>3200</v>
      </c>
      <c r="L12" s="54" t="s">
        <v>59</v>
      </c>
      <c r="M12" s="159">
        <f>K12*0.11</f>
        <v>352</v>
      </c>
      <c r="N12" s="172">
        <v>46057</v>
      </c>
      <c r="O12" s="23"/>
      <c r="Q12" s="182">
        <f t="shared" si="0"/>
        <v>960</v>
      </c>
    </row>
    <row r="13" spans="1:17" x14ac:dyDescent="0.25">
      <c r="A13" s="24" t="s">
        <v>24</v>
      </c>
      <c r="B13" s="23"/>
      <c r="C13" s="45"/>
      <c r="D13" s="23"/>
      <c r="E13" s="28"/>
      <c r="G13" s="24"/>
      <c r="H13" s="23"/>
      <c r="I13" s="65">
        <v>100</v>
      </c>
      <c r="J13" s="165">
        <v>81136714</v>
      </c>
      <c r="K13" s="45">
        <v>2100</v>
      </c>
      <c r="L13" s="180">
        <f t="shared" ref="L13:L14" si="2">K13*0.3</f>
        <v>630</v>
      </c>
      <c r="M13" s="159">
        <f t="shared" ref="M13:M18" si="3">K13*0.11</f>
        <v>231</v>
      </c>
      <c r="N13" s="172">
        <v>46057</v>
      </c>
      <c r="O13" s="23"/>
      <c r="Q13" s="182">
        <f t="shared" si="0"/>
        <v>630</v>
      </c>
    </row>
    <row r="14" spans="1:17" x14ac:dyDescent="0.25">
      <c r="A14" s="24" t="s">
        <v>25</v>
      </c>
      <c r="B14" s="23">
        <v>1</v>
      </c>
      <c r="C14" s="163">
        <v>50</v>
      </c>
      <c r="D14" s="26"/>
      <c r="E14" s="28" t="s">
        <v>118</v>
      </c>
      <c r="G14" s="24"/>
      <c r="H14" s="23"/>
      <c r="I14" s="45">
        <v>100</v>
      </c>
      <c r="J14" s="175">
        <v>81137104</v>
      </c>
      <c r="K14" s="45">
        <v>3000</v>
      </c>
      <c r="L14" s="29">
        <f t="shared" si="2"/>
        <v>900</v>
      </c>
      <c r="M14" s="159">
        <f t="shared" si="3"/>
        <v>330</v>
      </c>
      <c r="N14" s="23" t="s">
        <v>193</v>
      </c>
      <c r="O14" s="23"/>
      <c r="Q14" s="182">
        <f t="shared" si="0"/>
        <v>900</v>
      </c>
    </row>
    <row r="15" spans="1:17" x14ac:dyDescent="0.25">
      <c r="A15" s="24"/>
      <c r="B15" s="23"/>
      <c r="C15" s="45"/>
      <c r="D15" s="23"/>
      <c r="E15" s="28"/>
      <c r="G15" s="24"/>
      <c r="H15" s="23"/>
      <c r="I15" s="65" t="s">
        <v>59</v>
      </c>
      <c r="J15" s="175">
        <v>81136809</v>
      </c>
      <c r="K15" s="45">
        <v>1750</v>
      </c>
      <c r="L15" s="29">
        <f t="shared" ref="L15" si="4">K15*0.3</f>
        <v>525</v>
      </c>
      <c r="M15" s="159">
        <f t="shared" si="3"/>
        <v>192.5</v>
      </c>
      <c r="N15" s="23" t="s">
        <v>193</v>
      </c>
      <c r="O15" s="23"/>
      <c r="Q15" s="182">
        <f t="shared" si="0"/>
        <v>525</v>
      </c>
    </row>
    <row r="16" spans="1:17" x14ac:dyDescent="0.25">
      <c r="A16" s="24" t="s">
        <v>63</v>
      </c>
      <c r="B16" s="23"/>
      <c r="C16" s="45"/>
      <c r="D16" s="23"/>
      <c r="E16" s="28"/>
      <c r="G16" s="24"/>
      <c r="H16" s="23"/>
      <c r="I16" s="65">
        <v>100</v>
      </c>
      <c r="J16" s="175">
        <v>81137039</v>
      </c>
      <c r="K16" s="45">
        <v>2300</v>
      </c>
      <c r="L16" s="29">
        <f t="shared" ref="L16:L17" si="5">K16*0.3</f>
        <v>690</v>
      </c>
      <c r="M16" s="159">
        <f t="shared" si="3"/>
        <v>253</v>
      </c>
      <c r="N16" s="23" t="s">
        <v>193</v>
      </c>
      <c r="O16" s="23"/>
      <c r="Q16" s="182">
        <f t="shared" si="0"/>
        <v>690</v>
      </c>
    </row>
    <row r="17" spans="1:17" x14ac:dyDescent="0.25">
      <c r="A17" s="24" t="s">
        <v>50</v>
      </c>
      <c r="B17" s="23">
        <v>1</v>
      </c>
      <c r="C17" s="160">
        <f>B17*50</f>
        <v>50</v>
      </c>
      <c r="D17" s="23"/>
      <c r="E17" s="28"/>
      <c r="G17" s="24"/>
      <c r="H17" s="23"/>
      <c r="I17" s="65">
        <v>100</v>
      </c>
      <c r="J17" s="175">
        <v>81137003</v>
      </c>
      <c r="K17" s="45">
        <v>3100</v>
      </c>
      <c r="L17" s="29">
        <f t="shared" si="5"/>
        <v>930</v>
      </c>
      <c r="M17" s="159">
        <f t="shared" si="3"/>
        <v>341</v>
      </c>
      <c r="N17" s="23" t="s">
        <v>193</v>
      </c>
      <c r="O17" s="23"/>
      <c r="Q17" s="182">
        <f t="shared" si="0"/>
        <v>930</v>
      </c>
    </row>
    <row r="18" spans="1:17" x14ac:dyDescent="0.25">
      <c r="A18" s="24" t="s">
        <v>51</v>
      </c>
      <c r="B18" s="23"/>
      <c r="C18" s="45"/>
      <c r="D18" s="23"/>
      <c r="E18" s="28"/>
      <c r="G18" s="24"/>
      <c r="H18" s="23"/>
      <c r="I18" s="45">
        <v>100</v>
      </c>
      <c r="J18" s="176">
        <v>81137077</v>
      </c>
      <c r="K18" s="45">
        <v>1100</v>
      </c>
      <c r="L18" s="29">
        <f t="shared" ref="L18" si="6">K18*0.3</f>
        <v>330</v>
      </c>
      <c r="M18" s="159">
        <f t="shared" si="3"/>
        <v>121</v>
      </c>
      <c r="N18" s="23" t="s">
        <v>193</v>
      </c>
      <c r="O18" s="23"/>
      <c r="Q18" s="182">
        <f t="shared" si="0"/>
        <v>330</v>
      </c>
    </row>
    <row r="19" spans="1:17" x14ac:dyDescent="0.25">
      <c r="A19" s="24" t="s">
        <v>49</v>
      </c>
      <c r="B19" s="23">
        <v>2</v>
      </c>
      <c r="C19" s="160">
        <f>B19*50</f>
        <v>100</v>
      </c>
      <c r="D19" s="23"/>
      <c r="E19" s="28"/>
      <c r="G19" s="24"/>
      <c r="H19" s="23"/>
      <c r="I19" s="45"/>
      <c r="J19" s="28"/>
      <c r="N19" s="23"/>
      <c r="O19" s="23"/>
      <c r="Q19" s="182">
        <f t="shared" si="0"/>
        <v>0</v>
      </c>
    </row>
    <row r="20" spans="1:17" x14ac:dyDescent="0.25">
      <c r="A20" s="24" t="s">
        <v>52</v>
      </c>
      <c r="B20" s="23">
        <v>8</v>
      </c>
      <c r="C20" s="45"/>
      <c r="D20" s="23"/>
      <c r="E20" s="28"/>
      <c r="G20" s="24" t="s">
        <v>85</v>
      </c>
      <c r="H20" s="23"/>
      <c r="I20" s="45"/>
      <c r="J20" s="28"/>
      <c r="K20" s="45"/>
      <c r="L20" s="29"/>
      <c r="M20" s="29"/>
      <c r="N20" s="23"/>
      <c r="O20" s="23"/>
      <c r="Q20" s="182">
        <f t="shared" si="0"/>
        <v>0</v>
      </c>
    </row>
    <row r="21" spans="1:17" x14ac:dyDescent="0.25">
      <c r="A21" s="44" t="s">
        <v>37</v>
      </c>
      <c r="B21" s="26">
        <v>5</v>
      </c>
      <c r="C21" s="160">
        <f>B21*50</f>
        <v>250</v>
      </c>
      <c r="D21" s="26"/>
      <c r="E21" s="42"/>
      <c r="G21" s="24"/>
      <c r="H21" s="23"/>
      <c r="I21" s="45"/>
      <c r="J21" s="28"/>
      <c r="K21" s="45"/>
      <c r="L21" s="29"/>
      <c r="M21" s="24"/>
      <c r="N21" s="23"/>
      <c r="O21" s="23"/>
      <c r="Q21" s="182">
        <f t="shared" si="0"/>
        <v>0</v>
      </c>
    </row>
    <row r="22" spans="1:17" x14ac:dyDescent="0.25">
      <c r="A22" s="24" t="s">
        <v>38</v>
      </c>
      <c r="B22" s="23">
        <v>1</v>
      </c>
      <c r="C22" s="45"/>
      <c r="D22" s="23"/>
      <c r="E22" s="28"/>
      <c r="G22" s="24" t="s">
        <v>26</v>
      </c>
      <c r="H22" s="23">
        <v>2</v>
      </c>
      <c r="I22" s="45">
        <v>100</v>
      </c>
      <c r="J22" s="165" t="s">
        <v>113</v>
      </c>
      <c r="K22" s="45">
        <v>2200</v>
      </c>
      <c r="L22" s="180">
        <f t="shared" ref="L22" si="7">K22*0.3</f>
        <v>660</v>
      </c>
      <c r="M22" s="159">
        <f>K22*0.17</f>
        <v>374</v>
      </c>
      <c r="N22" s="23"/>
      <c r="O22" s="23"/>
      <c r="Q22" s="182">
        <f t="shared" si="0"/>
        <v>660</v>
      </c>
    </row>
    <row r="23" spans="1:17" x14ac:dyDescent="0.25">
      <c r="A23" s="24" t="s">
        <v>81</v>
      </c>
      <c r="B23" s="23">
        <v>12</v>
      </c>
      <c r="C23" s="160">
        <f t="shared" ref="C23" si="8">B23*50</f>
        <v>600</v>
      </c>
      <c r="D23" s="23"/>
      <c r="E23" s="61"/>
      <c r="G23" s="24"/>
      <c r="H23" s="31"/>
      <c r="I23" s="45" t="s">
        <v>59</v>
      </c>
      <c r="J23" s="28" t="s">
        <v>116</v>
      </c>
      <c r="K23" s="45">
        <v>1400</v>
      </c>
      <c r="L23" s="29">
        <f t="shared" ref="L23" si="9">K23*0.3</f>
        <v>420</v>
      </c>
      <c r="M23" s="159">
        <f t="shared" ref="M23" si="10">K23*0.17</f>
        <v>238.00000000000003</v>
      </c>
      <c r="N23" s="35"/>
      <c r="O23" s="35"/>
      <c r="Q23" s="182">
        <f t="shared" si="0"/>
        <v>420</v>
      </c>
    </row>
    <row r="24" spans="1:17" x14ac:dyDescent="0.25">
      <c r="A24" s="24" t="s">
        <v>82</v>
      </c>
      <c r="B24" s="23">
        <v>11</v>
      </c>
      <c r="C24" s="45"/>
      <c r="D24" s="23"/>
      <c r="E24" s="28"/>
      <c r="G24" s="24"/>
      <c r="H24" s="31"/>
      <c r="I24" s="45"/>
      <c r="J24" s="28"/>
      <c r="K24" s="45"/>
      <c r="L24" s="29"/>
      <c r="M24" s="29"/>
      <c r="N24" s="35"/>
      <c r="O24" s="35"/>
    </row>
    <row r="25" spans="1:17" x14ac:dyDescent="0.25">
      <c r="A25" s="24"/>
      <c r="B25" s="23"/>
      <c r="C25" s="45"/>
      <c r="D25" s="23"/>
      <c r="E25" s="28"/>
      <c r="G25" s="24"/>
      <c r="H25" s="23"/>
      <c r="I25" s="45"/>
      <c r="J25" s="28"/>
      <c r="K25" s="45"/>
      <c r="L25" s="29"/>
      <c r="M25" s="29"/>
      <c r="N25" s="23"/>
      <c r="O25" s="23"/>
    </row>
    <row r="26" spans="1:17" x14ac:dyDescent="0.25">
      <c r="A26" s="27" t="s">
        <v>27</v>
      </c>
      <c r="B26" s="25">
        <f>SUM(B2:B25)</f>
        <v>50</v>
      </c>
      <c r="C26" s="49">
        <f>SUM(C2:C25)</f>
        <v>1300</v>
      </c>
      <c r="D26" s="49">
        <v>3000</v>
      </c>
      <c r="E26" s="28" t="s">
        <v>123</v>
      </c>
      <c r="G26" s="24" t="s">
        <v>27</v>
      </c>
      <c r="H26" s="63">
        <f>SUM(H2:H25)</f>
        <v>15</v>
      </c>
      <c r="I26" s="49">
        <f>SUM(I2:I25)</f>
        <v>700</v>
      </c>
      <c r="J26" s="66"/>
      <c r="K26" s="49"/>
      <c r="L26" s="49">
        <f>SUM(L2:L25)</f>
        <v>6570</v>
      </c>
      <c r="M26" s="49">
        <f>SUM(M2:M25)</f>
        <v>5665.5</v>
      </c>
      <c r="N26" s="23"/>
      <c r="O26" s="23"/>
      <c r="P26" s="182">
        <f>Q26/30%</f>
        <v>40650</v>
      </c>
      <c r="Q26" s="182">
        <f>SUM(Q2:Q25)</f>
        <v>12195</v>
      </c>
    </row>
    <row r="27" spans="1:17" x14ac:dyDescent="0.25">
      <c r="D27" s="50" t="s">
        <v>53</v>
      </c>
      <c r="E27" s="178" t="s">
        <v>194</v>
      </c>
      <c r="I27" s="50" t="s">
        <v>53</v>
      </c>
      <c r="L27" s="50" t="s">
        <v>61</v>
      </c>
    </row>
    <row r="29" spans="1:17" x14ac:dyDescent="0.25">
      <c r="J29" s="19"/>
      <c r="K29" s="18"/>
      <c r="L29" s="22"/>
    </row>
    <row r="30" spans="1:17" x14ac:dyDescent="0.25">
      <c r="L30" s="21"/>
      <c r="M30" s="1"/>
    </row>
    <row r="31" spans="1:17" x14ac:dyDescent="0.25">
      <c r="J31" s="20"/>
      <c r="L31" s="21"/>
      <c r="M31" s="1"/>
    </row>
    <row r="32" spans="1:17" x14ac:dyDescent="0.25">
      <c r="J32" s="20"/>
      <c r="L32" s="21"/>
      <c r="M32" s="1"/>
    </row>
    <row r="33" spans="10:13" x14ac:dyDescent="0.25">
      <c r="J33" s="20"/>
      <c r="L33" s="21"/>
      <c r="M33" s="1"/>
    </row>
    <row r="34" spans="10:13" x14ac:dyDescent="0.25">
      <c r="J34" s="20"/>
      <c r="L34" s="21"/>
      <c r="M34" s="1"/>
    </row>
    <row r="35" spans="10:13" x14ac:dyDescent="0.25">
      <c r="J35" s="20"/>
      <c r="M35" s="1"/>
    </row>
    <row r="36" spans="10:13" x14ac:dyDescent="0.25">
      <c r="J36" s="20"/>
      <c r="L36" s="21"/>
      <c r="M36" s="1"/>
    </row>
    <row r="37" spans="10:13" x14ac:dyDescent="0.25">
      <c r="M37" s="1"/>
    </row>
  </sheetData>
  <sortState xmlns:xlrd2="http://schemas.microsoft.com/office/spreadsheetml/2017/richdata2" ref="A2:E14">
    <sortCondition ref="A2:A14"/>
  </sortState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topLeftCell="B1" zoomScale="85" zoomScaleNormal="85" workbookViewId="0">
      <selection activeCell="E15" sqref="E15"/>
    </sheetView>
  </sheetViews>
  <sheetFormatPr defaultColWidth="11.7109375" defaultRowHeight="15" x14ac:dyDescent="0.25"/>
  <cols>
    <col min="1" max="1" width="6.42578125" customWidth="1"/>
    <col min="2" max="2" width="35.85546875" customWidth="1"/>
    <col min="3" max="3" width="46.42578125" bestFit="1" customWidth="1"/>
    <col min="4" max="4" width="19" customWidth="1"/>
    <col min="5" max="5" width="65.140625" customWidth="1"/>
    <col min="6" max="6" width="28" bestFit="1" customWidth="1"/>
    <col min="9" max="9" width="15.28515625" customWidth="1"/>
  </cols>
  <sheetData>
    <row r="1" spans="1:8" x14ac:dyDescent="0.25">
      <c r="A1" s="24" t="s">
        <v>64</v>
      </c>
      <c r="B1" s="29" t="s">
        <v>65</v>
      </c>
      <c r="C1" s="29" t="s">
        <v>66</v>
      </c>
      <c r="D1" s="29" t="s">
        <v>67</v>
      </c>
      <c r="E1" s="29" t="s">
        <v>68</v>
      </c>
      <c r="F1" s="29" t="s">
        <v>69</v>
      </c>
      <c r="G1" s="29" t="s">
        <v>70</v>
      </c>
      <c r="H1" s="29" t="s">
        <v>71</v>
      </c>
    </row>
    <row r="2" spans="1:8" x14ac:dyDescent="0.25">
      <c r="A2" s="26">
        <v>1</v>
      </c>
      <c r="B2" s="64" t="s">
        <v>122</v>
      </c>
      <c r="C2" s="64"/>
      <c r="D2" s="64"/>
      <c r="E2" s="64"/>
      <c r="F2" s="53" t="s">
        <v>121</v>
      </c>
      <c r="G2" s="153">
        <v>150</v>
      </c>
      <c r="H2" s="29"/>
    </row>
    <row r="3" spans="1:8" x14ac:dyDescent="0.25">
      <c r="A3" s="23">
        <v>2</v>
      </c>
      <c r="B3" s="29"/>
      <c r="C3" s="29"/>
      <c r="D3" s="29"/>
      <c r="E3" s="29"/>
      <c r="F3" s="29"/>
      <c r="G3" s="29"/>
      <c r="H3" s="29"/>
    </row>
    <row r="4" spans="1:8" x14ac:dyDescent="0.25">
      <c r="A4" s="23">
        <v>3</v>
      </c>
      <c r="B4" s="29"/>
      <c r="C4" s="29"/>
      <c r="D4" s="29"/>
      <c r="E4" s="29"/>
      <c r="F4" s="29"/>
      <c r="G4" s="29"/>
      <c r="H4" s="29"/>
    </row>
    <row r="5" spans="1:8" x14ac:dyDescent="0.25">
      <c r="A5" s="23">
        <v>4</v>
      </c>
      <c r="B5" s="29"/>
      <c r="C5" s="29"/>
      <c r="D5" s="29"/>
      <c r="E5" s="29"/>
      <c r="F5" s="29"/>
      <c r="G5" s="29"/>
      <c r="H5" s="29"/>
    </row>
    <row r="6" spans="1:8" x14ac:dyDescent="0.25">
      <c r="A6" s="23">
        <v>5</v>
      </c>
      <c r="B6" s="29"/>
      <c r="C6" s="29"/>
      <c r="D6" s="29"/>
      <c r="E6" s="29"/>
      <c r="F6" s="29"/>
      <c r="G6" s="29"/>
      <c r="H6" s="29"/>
    </row>
    <row r="7" spans="1:8" x14ac:dyDescent="0.25">
      <c r="A7" s="23">
        <v>6</v>
      </c>
      <c r="B7" s="29"/>
      <c r="C7" s="29"/>
      <c r="D7" s="29"/>
      <c r="E7" s="29"/>
      <c r="F7" s="29"/>
      <c r="G7" s="29"/>
      <c r="H7" s="29"/>
    </row>
    <row r="8" spans="1:8" x14ac:dyDescent="0.25">
      <c r="A8" s="23">
        <v>7</v>
      </c>
      <c r="B8" s="29"/>
      <c r="C8" s="29"/>
      <c r="D8" s="29"/>
      <c r="E8" s="29"/>
      <c r="F8" s="29" t="s">
        <v>27</v>
      </c>
      <c r="G8" s="29">
        <f>SUM(G2:G5)</f>
        <v>150</v>
      </c>
      <c r="H8" s="29"/>
    </row>
    <row r="11" spans="1:8" x14ac:dyDescent="0.25">
      <c r="B11" s="19"/>
    </row>
    <row r="13" spans="1:8" x14ac:dyDescent="0.25">
      <c r="C13" s="19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E9"/>
  <sheetViews>
    <sheetView workbookViewId="0">
      <selection activeCell="D6" sqref="D6"/>
    </sheetView>
  </sheetViews>
  <sheetFormatPr defaultRowHeight="15" x14ac:dyDescent="0.25"/>
  <cols>
    <col min="2" max="2" width="15.42578125" bestFit="1" customWidth="1"/>
    <col min="3" max="3" width="11.5703125" customWidth="1"/>
    <col min="4" max="4" width="14.140625" bestFit="1" customWidth="1"/>
    <col min="5" max="5" width="34.28515625" customWidth="1"/>
  </cols>
  <sheetData>
    <row r="3" spans="2:5" x14ac:dyDescent="0.25">
      <c r="B3" s="27" t="s">
        <v>72</v>
      </c>
      <c r="C3" s="27" t="s">
        <v>20</v>
      </c>
      <c r="D3" s="27" t="s">
        <v>73</v>
      </c>
      <c r="E3" s="27" t="s">
        <v>21</v>
      </c>
    </row>
    <row r="4" spans="2:5" x14ac:dyDescent="0.25">
      <c r="B4" s="24"/>
      <c r="C4" s="23"/>
      <c r="D4" s="35"/>
      <c r="E4" s="28"/>
    </row>
    <row r="5" spans="2:5" x14ac:dyDescent="0.25">
      <c r="B5" s="53" t="s">
        <v>49</v>
      </c>
      <c r="C5" s="26"/>
      <c r="D5" s="54"/>
      <c r="E5" s="42"/>
    </row>
    <row r="6" spans="2:5" x14ac:dyDescent="0.25">
      <c r="B6" s="24" t="s">
        <v>80</v>
      </c>
      <c r="C6" s="23">
        <v>3</v>
      </c>
      <c r="D6" s="158">
        <v>150</v>
      </c>
      <c r="E6" s="42"/>
    </row>
    <row r="7" spans="2:5" ht="19.5" customHeight="1" x14ac:dyDescent="0.25">
      <c r="B7" s="53" t="s">
        <v>50</v>
      </c>
      <c r="C7" s="26"/>
      <c r="D7" s="54">
        <f>C7*50</f>
        <v>0</v>
      </c>
      <c r="E7" s="55"/>
    </row>
    <row r="8" spans="2:5" x14ac:dyDescent="0.25">
      <c r="B8" s="24"/>
      <c r="C8" s="23"/>
      <c r="D8" s="35"/>
      <c r="E8" s="28"/>
    </row>
    <row r="9" spans="2:5" x14ac:dyDescent="0.25">
      <c r="B9" s="27" t="s">
        <v>74</v>
      </c>
      <c r="C9" s="25">
        <f>SUM(C4:C8)</f>
        <v>3</v>
      </c>
      <c r="D9" s="56">
        <f>SUM(D4:D8)</f>
        <v>150</v>
      </c>
      <c r="E9" s="2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218803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Controles</vt:lpstr>
      <vt:lpstr>Agenciamentos</vt:lpstr>
      <vt:lpstr>Indicações</vt:lpstr>
      <vt:lpstr>Ags. de Venda</vt:lpstr>
      <vt:lpstr>Controles!_FilterDatabase_0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Lopes Machado</dc:creator>
  <cp:lastModifiedBy>Carlos Freitas</cp:lastModifiedBy>
  <cp:revision>1157</cp:revision>
  <cp:lastPrinted>2021-07-20T15:55:25Z</cp:lastPrinted>
  <dcterms:created xsi:type="dcterms:W3CDTF">2017-05-08T18:09:48Z</dcterms:created>
  <dcterms:modified xsi:type="dcterms:W3CDTF">2026-03-12T20:57:13Z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